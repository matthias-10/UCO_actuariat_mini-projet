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GitHub\UCO_actuariat_mini-projet\"/>
    </mc:Choice>
  </mc:AlternateContent>
  <xr:revisionPtr revIDLastSave="0" documentId="13_ncr:1_{3B749992-D493-44C6-8B2A-0FCB40D1DC47}" xr6:coauthVersionLast="47" xr6:coauthVersionMax="47" xr10:uidLastSave="{00000000-0000-0000-0000-000000000000}"/>
  <workbookProtection lockStructure="1"/>
  <bookViews>
    <workbookView xWindow="-108" yWindow="-108" windowWidth="23256" windowHeight="12576" xr2:uid="{37BB51FA-B421-40C2-8C75-36C11962CC14}"/>
  </bookViews>
  <sheets>
    <sheet name="Dashboard" sheetId="3" r:id="rId1"/>
    <sheet name="trajectoires" sheetId="2" r:id="rId2"/>
    <sheet name="IC" sheetId="4" r:id="rId3"/>
  </sheets>
  <functionGroups builtInGroupCount="19"/>
  <definedNames>
    <definedName name="K_">Dashboard!$C$6</definedName>
    <definedName name="n">Dashboard!$C$10</definedName>
    <definedName name="n_">Dashboard!$C$10</definedName>
    <definedName name="Nd_">Dashboard!$C$13</definedName>
    <definedName name="nt_">Dashboard!$C$14</definedName>
    <definedName name="parametres" localSheetId="0">Dashboard!$A$1:$B$9</definedName>
    <definedName name="parametres">#REF!</definedName>
    <definedName name="r_">Dashboard!$C$7</definedName>
    <definedName name="S_0" localSheetId="0">Dashboard!$A$2</definedName>
    <definedName name="S_0">#REF!</definedName>
    <definedName name="S0_">Dashboard!$C$5</definedName>
    <definedName name="sigma_">Dashboard!$C$8</definedName>
    <definedName name="T_">Dashboard!$C$11</definedName>
    <definedName name="t0_">Dashboard!$C$9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O4" i="3"/>
  <c r="P4" i="3"/>
  <c r="Q4" i="3"/>
  <c r="N5" i="3"/>
  <c r="O5" i="3"/>
  <c r="P5" i="3"/>
  <c r="Q5" i="3"/>
  <c r="N6" i="3"/>
  <c r="O6" i="3"/>
  <c r="P6" i="3"/>
  <c r="Q6" i="3"/>
  <c r="N7" i="3"/>
  <c r="O7" i="3"/>
  <c r="P7" i="3"/>
  <c r="Q7" i="3"/>
  <c r="N8" i="3"/>
  <c r="O8" i="3"/>
  <c r="P8" i="3"/>
  <c r="Q8" i="3"/>
  <c r="N9" i="3"/>
  <c r="O9" i="3"/>
  <c r="P9" i="3"/>
  <c r="Q9" i="3"/>
  <c r="N10" i="3"/>
  <c r="O10" i="3"/>
  <c r="P10" i="3"/>
  <c r="Q10" i="3"/>
  <c r="N11" i="3"/>
  <c r="O11" i="3"/>
  <c r="P11" i="3"/>
  <c r="Q11" i="3"/>
  <c r="N12" i="3"/>
  <c r="O12" i="3"/>
  <c r="P12" i="3"/>
  <c r="Q12" i="3"/>
  <c r="N13" i="3"/>
  <c r="O13" i="3"/>
  <c r="P13" i="3"/>
  <c r="Q13" i="3"/>
  <c r="N14" i="3"/>
  <c r="O14" i="3"/>
  <c r="P14" i="3"/>
  <c r="Q14" i="3"/>
  <c r="M5" i="3"/>
  <c r="M6" i="3"/>
  <c r="M7" i="3"/>
  <c r="M8" i="3"/>
  <c r="M9" i="3"/>
  <c r="M10" i="3"/>
  <c r="M11" i="3"/>
  <c r="M12" i="3"/>
  <c r="M13" i="3"/>
  <c r="M14" i="3"/>
  <c r="M4" i="3"/>
  <c r="O23" i="3"/>
  <c r="N19" i="3"/>
  <c r="O19" i="3"/>
  <c r="P19" i="3"/>
  <c r="Q19" i="3"/>
  <c r="N20" i="3"/>
  <c r="O20" i="3"/>
  <c r="P20" i="3"/>
  <c r="Q20" i="3"/>
  <c r="N21" i="3"/>
  <c r="O21" i="3"/>
  <c r="P21" i="3"/>
  <c r="Q21" i="3"/>
  <c r="N22" i="3"/>
  <c r="Q22" i="3"/>
  <c r="N23" i="3"/>
  <c r="Q23" i="3"/>
  <c r="P18" i="3"/>
  <c r="Q18" i="3"/>
  <c r="O18" i="3"/>
  <c r="N18" i="3"/>
  <c r="P23" i="3" l="1"/>
  <c r="P22" i="3"/>
  <c r="O22" i="3"/>
</calcChain>
</file>

<file path=xl/sharedStrings.xml><?xml version="1.0" encoding="utf-8"?>
<sst xmlns="http://schemas.openxmlformats.org/spreadsheetml/2006/main" count="41" uniqueCount="36">
  <si>
    <t>Les paramètres:</t>
  </si>
  <si>
    <t>r</t>
  </si>
  <si>
    <t>sigma</t>
  </si>
  <si>
    <t>T</t>
  </si>
  <si>
    <t>n</t>
  </si>
  <si>
    <t>nt</t>
  </si>
  <si>
    <t>S0</t>
  </si>
  <si>
    <t>Nd</t>
  </si>
  <si>
    <t>t</t>
  </si>
  <si>
    <t>K</t>
  </si>
  <si>
    <t>une série</t>
  </si>
  <si>
    <t>Les estimateurs:</t>
  </si>
  <si>
    <t>largeur IC</t>
  </si>
  <si>
    <t>Les IC</t>
  </si>
  <si>
    <t>ID</t>
  </si>
  <si>
    <t>temps</t>
  </si>
  <si>
    <t>VC_1</t>
  </si>
  <si>
    <t>VC_2</t>
  </si>
  <si>
    <t>C_inf</t>
  </si>
  <si>
    <t>C_5nt</t>
  </si>
  <si>
    <t>C_anti</t>
  </si>
  <si>
    <t>C_N</t>
  </si>
  <si>
    <t>S</t>
  </si>
  <si>
    <t>S_anti</t>
  </si>
  <si>
    <t>10 trajectoires illustratives:</t>
  </si>
  <si>
    <t>Exemple des séries:</t>
  </si>
  <si>
    <t>estimateur</t>
  </si>
  <si>
    <t>durée</t>
  </si>
  <si>
    <t>séries antith.</t>
  </si>
  <si>
    <t>Saisir ici:</t>
  </si>
  <si>
    <t>est.</t>
  </si>
  <si>
    <t>Les trajectoires du graphique</t>
  </si>
  <si>
    <t>REF pour faire défiler le tableau</t>
  </si>
  <si>
    <t>Le tableau des séries exemplaires</t>
  </si>
  <si>
    <t>IC_bas 5%</t>
  </si>
  <si>
    <t>IC_haut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</si>
</sst>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i/>
      <sz val="11"/>
      <color theme="4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0" xfId="0" applyFill="1" applyBorder="1"/>
    <xf numFmtId="0" fontId="0" fillId="2" borderId="0" xfId="0" quotePrefix="1" applyFill="1" applyBorder="1"/>
    <xf numFmtId="0" fontId="0" fillId="3" borderId="0" xfId="0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right"/>
    </xf>
    <xf numFmtId="0" fontId="1" fillId="3" borderId="0" xfId="0" applyFont="1" applyFill="1" applyBorder="1"/>
    <xf numFmtId="164" fontId="0" fillId="3" borderId="0" xfId="0" applyNumberFormat="1" applyFill="1" applyBorder="1"/>
    <xf numFmtId="165" fontId="0" fillId="3" borderId="0" xfId="0" applyNumberFormat="1" applyFill="1" applyBorder="1"/>
    <xf numFmtId="0" fontId="0" fillId="2" borderId="0" xfId="0" applyFill="1" applyBorder="1" applyAlignment="1">
      <alignment vertical="top"/>
    </xf>
    <xf numFmtId="164" fontId="0" fillId="3" borderId="0" xfId="0" applyNumberFormat="1" applyFill="1" applyBorder="1" applyAlignment="1">
      <alignment horizontal="center"/>
    </xf>
    <xf numFmtId="0" fontId="5" fillId="3" borderId="0" xfId="0" applyFont="1" applyFill="1" applyBorder="1"/>
    <xf numFmtId="0" fontId="2" fillId="3" borderId="0" xfId="0" applyFont="1" applyFill="1" applyBorder="1" applyAlignmen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6" fillId="3" borderId="0" xfId="0" applyFont="1" applyFill="1" applyBorder="1"/>
    <xf numFmtId="0" fontId="7" fillId="3" borderId="0" xfId="0" applyFont="1" applyFill="1" applyBorder="1" applyAlignment="1">
      <alignment horizontal="right"/>
    </xf>
    <xf numFmtId="164" fontId="8" fillId="3" borderId="0" xfId="0" applyNumberFormat="1" applyFont="1" applyFill="1" applyBorder="1" applyAlignment="1">
      <alignment horizontal="center"/>
    </xf>
    <xf numFmtId="165" fontId="8" fillId="3" borderId="0" xfId="0" applyNumberFormat="1" applyFont="1" applyFill="1" applyBorder="1"/>
    <xf numFmtId="164" fontId="8" fillId="3" borderId="0" xfId="0" applyNumberFormat="1" applyFont="1" applyFill="1" applyBorder="1"/>
    <xf numFmtId="0" fontId="1" fillId="4" borderId="0" xfId="0" quotePrefix="1" applyFont="1" applyFill="1" applyAlignment="1"/>
    <xf numFmtId="0" fontId="7" fillId="3" borderId="0" xfId="0" applyFont="1" applyFill="1" applyBorder="1" applyAlignment="1">
      <alignment horizontal="center"/>
    </xf>
    <xf numFmtId="2" fontId="8" fillId="3" borderId="0" xfId="0" applyNumberFormat="1" applyFont="1" applyFill="1" applyBorder="1"/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top" wrapText="1"/>
    </xf>
    <xf numFmtId="0" fontId="1" fillId="5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Dashboard!$I$3:$I$91</c:f>
              <c:numCache>
                <c:formatCode>General</c:formatCode>
                <c:ptCount val="23"/>
              </c:numCache>
            </c:numRef>
          </c:cat>
          <c:val>
            <c:numRef>
              <c:f>trajectoires!$I$3:$I$93</c:f>
              <c:numCache>
                <c:formatCode>General</c:formatCode>
                <c:ptCount val="91"/>
                <c:pt idx="0">
                  <c:v>40</c:v>
                </c:pt>
                <c:pt idx="1">
                  <c:v>39.652558374155106</c:v>
                </c:pt>
                <c:pt idx="2">
                  <c:v>39.803720001742413</c:v>
                </c:pt>
                <c:pt idx="3">
                  <c:v>39.129929924183863</c:v>
                </c:pt>
                <c:pt idx="4">
                  <c:v>40.373575332547453</c:v>
                </c:pt>
                <c:pt idx="5">
                  <c:v>39.296356210742545</c:v>
                </c:pt>
                <c:pt idx="6">
                  <c:v>39.978575912034302</c:v>
                </c:pt>
                <c:pt idx="7">
                  <c:v>41.364728352854897</c:v>
                </c:pt>
                <c:pt idx="8">
                  <c:v>43.61057969317438</c:v>
                </c:pt>
                <c:pt idx="9">
                  <c:v>42.406358931584442</c:v>
                </c:pt>
                <c:pt idx="10">
                  <c:v>42.446971776753017</c:v>
                </c:pt>
                <c:pt idx="11">
                  <c:v>44.892436994252463</c:v>
                </c:pt>
                <c:pt idx="12">
                  <c:v>47.352895345267029</c:v>
                </c:pt>
                <c:pt idx="13">
                  <c:v>47.86527661097891</c:v>
                </c:pt>
                <c:pt idx="14">
                  <c:v>47.390188222872617</c:v>
                </c:pt>
                <c:pt idx="15">
                  <c:v>49.83435332450707</c:v>
                </c:pt>
                <c:pt idx="16">
                  <c:v>52.193607710890547</c:v>
                </c:pt>
                <c:pt idx="17">
                  <c:v>51.956303260202233</c:v>
                </c:pt>
                <c:pt idx="18">
                  <c:v>54.593969370096858</c:v>
                </c:pt>
                <c:pt idx="19">
                  <c:v>56.019972016741001</c:v>
                </c:pt>
                <c:pt idx="20">
                  <c:v>55.807172015615372</c:v>
                </c:pt>
                <c:pt idx="21">
                  <c:v>56.431178604027536</c:v>
                </c:pt>
                <c:pt idx="22">
                  <c:v>58.397699471330057</c:v>
                </c:pt>
                <c:pt idx="23">
                  <c:v>55.836285026728284</c:v>
                </c:pt>
                <c:pt idx="24">
                  <c:v>53.14950615367497</c:v>
                </c:pt>
                <c:pt idx="25">
                  <c:v>52.687670932478497</c:v>
                </c:pt>
                <c:pt idx="26">
                  <c:v>49.858243023885137</c:v>
                </c:pt>
                <c:pt idx="27">
                  <c:v>55.466887088892477</c:v>
                </c:pt>
                <c:pt idx="28">
                  <c:v>54.749024116697079</c:v>
                </c:pt>
                <c:pt idx="29">
                  <c:v>58.825004033905614</c:v>
                </c:pt>
                <c:pt idx="30">
                  <c:v>56.052848707629096</c:v>
                </c:pt>
                <c:pt idx="31">
                  <c:v>58.977409564029081</c:v>
                </c:pt>
                <c:pt idx="32">
                  <c:v>63.202427351943236</c:v>
                </c:pt>
                <c:pt idx="33">
                  <c:v>62.835007296423029</c:v>
                </c:pt>
                <c:pt idx="34">
                  <c:v>60.431748546564847</c:v>
                </c:pt>
                <c:pt idx="35">
                  <c:v>63.436177217091121</c:v>
                </c:pt>
                <c:pt idx="36">
                  <c:v>63.538138030142463</c:v>
                </c:pt>
                <c:pt idx="37">
                  <c:v>62.892371983181626</c:v>
                </c:pt>
                <c:pt idx="38">
                  <c:v>59.568576990802555</c:v>
                </c:pt>
                <c:pt idx="39">
                  <c:v>59.812995438933491</c:v>
                </c:pt>
                <c:pt idx="40">
                  <c:v>58.374101223245539</c:v>
                </c:pt>
                <c:pt idx="41">
                  <c:v>56.854768713453737</c:v>
                </c:pt>
                <c:pt idx="42">
                  <c:v>53.612895846388717</c:v>
                </c:pt>
                <c:pt idx="43">
                  <c:v>57.203035593544179</c:v>
                </c:pt>
                <c:pt idx="44">
                  <c:v>57.754262675619827</c:v>
                </c:pt>
                <c:pt idx="45">
                  <c:v>62.638426926075567</c:v>
                </c:pt>
                <c:pt idx="46">
                  <c:v>68.215623000604239</c:v>
                </c:pt>
                <c:pt idx="47">
                  <c:v>70.533852174038586</c:v>
                </c:pt>
                <c:pt idx="48">
                  <c:v>69.967664790507584</c:v>
                </c:pt>
                <c:pt idx="49">
                  <c:v>68.210318883646835</c:v>
                </c:pt>
                <c:pt idx="50">
                  <c:v>69.435014173762866</c:v>
                </c:pt>
                <c:pt idx="51">
                  <c:v>73.863957657796689</c:v>
                </c:pt>
                <c:pt idx="52">
                  <c:v>73.448526560396999</c:v>
                </c:pt>
                <c:pt idx="53">
                  <c:v>72.027014158203727</c:v>
                </c:pt>
                <c:pt idx="54">
                  <c:v>73.570779865972071</c:v>
                </c:pt>
                <c:pt idx="55">
                  <c:v>70.437424053138287</c:v>
                </c:pt>
                <c:pt idx="56">
                  <c:v>67.962993221195575</c:v>
                </c:pt>
                <c:pt idx="57">
                  <c:v>65.563295544069632</c:v>
                </c:pt>
                <c:pt idx="58">
                  <c:v>66.553441340713931</c:v>
                </c:pt>
                <c:pt idx="59">
                  <c:v>66.643416453567411</c:v>
                </c:pt>
                <c:pt idx="60">
                  <c:v>64.597662739157201</c:v>
                </c:pt>
                <c:pt idx="61">
                  <c:v>70.622959215649232</c:v>
                </c:pt>
                <c:pt idx="62">
                  <c:v>64.54621358422358</c:v>
                </c:pt>
                <c:pt idx="63">
                  <c:v>64.674001726224347</c:v>
                </c:pt>
                <c:pt idx="64">
                  <c:v>63.39569558780758</c:v>
                </c:pt>
                <c:pt idx="65">
                  <c:v>62.435535117927152</c:v>
                </c:pt>
                <c:pt idx="66">
                  <c:v>63.109396923423127</c:v>
                </c:pt>
                <c:pt idx="67">
                  <c:v>67.857184957435749</c:v>
                </c:pt>
                <c:pt idx="68">
                  <c:v>66.007832047425552</c:v>
                </c:pt>
                <c:pt idx="69">
                  <c:v>65.452946874069895</c:v>
                </c:pt>
                <c:pt idx="70">
                  <c:v>67.650239344984342</c:v>
                </c:pt>
                <c:pt idx="71">
                  <c:v>65.533992009883292</c:v>
                </c:pt>
                <c:pt idx="72">
                  <c:v>63.09947922400071</c:v>
                </c:pt>
                <c:pt idx="73">
                  <c:v>61.788487816156497</c:v>
                </c:pt>
                <c:pt idx="74">
                  <c:v>60.660514511132803</c:v>
                </c:pt>
                <c:pt idx="75">
                  <c:v>61.631886504872206</c:v>
                </c:pt>
                <c:pt idx="76">
                  <c:v>62.433713719088864</c:v>
                </c:pt>
                <c:pt idx="77">
                  <c:v>63.944519403276679</c:v>
                </c:pt>
                <c:pt idx="78">
                  <c:v>64.988863875587938</c:v>
                </c:pt>
                <c:pt idx="79">
                  <c:v>68.138683972688582</c:v>
                </c:pt>
                <c:pt idx="80">
                  <c:v>69.719060508952168</c:v>
                </c:pt>
                <c:pt idx="81">
                  <c:v>79.521813059871207</c:v>
                </c:pt>
                <c:pt idx="82">
                  <c:v>78.931884592865899</c:v>
                </c:pt>
                <c:pt idx="83">
                  <c:v>73.379380436361743</c:v>
                </c:pt>
                <c:pt idx="84">
                  <c:v>75.69117140069261</c:v>
                </c:pt>
                <c:pt idx="85">
                  <c:v>83.414720947057944</c:v>
                </c:pt>
                <c:pt idx="86">
                  <c:v>94.813652722529284</c:v>
                </c:pt>
                <c:pt idx="87">
                  <c:v>95.284885220901657</c:v>
                </c:pt>
                <c:pt idx="88">
                  <c:v>89.725889666691685</c:v>
                </c:pt>
                <c:pt idx="89">
                  <c:v>89.96579242269128</c:v>
                </c:pt>
                <c:pt idx="90">
                  <c:v>93.559386977068954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C7-4AF6-963C-403110EF930E}"/>
            </c:ext>
          </c:extLst>
        </c:ser>
        <c:ser>
          <c:idx val="1"/>
          <c:order val="1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trajectoires!$J$3:$J$93</c:f>
              <c:numCache>
                <c:formatCode>General</c:formatCode>
                <c:ptCount val="91"/>
                <c:pt idx="0">
                  <c:v>40</c:v>
                </c:pt>
                <c:pt idx="1">
                  <c:v>40.102511335042237</c:v>
                </c:pt>
                <c:pt idx="2">
                  <c:v>39.234531918050621</c:v>
                </c:pt>
                <c:pt idx="3">
                  <c:v>38.850263042962105</c:v>
                </c:pt>
                <c:pt idx="4">
                  <c:v>38.952705555635582</c:v>
                </c:pt>
                <c:pt idx="5">
                  <c:v>41.51458506949897</c:v>
                </c:pt>
                <c:pt idx="6">
                  <c:v>39.802804982247096</c:v>
                </c:pt>
                <c:pt idx="7">
                  <c:v>39.484155357954862</c:v>
                </c:pt>
                <c:pt idx="8">
                  <c:v>37.397495630422611</c:v>
                </c:pt>
                <c:pt idx="9">
                  <c:v>37.293964249271191</c:v>
                </c:pt>
                <c:pt idx="10">
                  <c:v>36.784654566480228</c:v>
                </c:pt>
                <c:pt idx="11">
                  <c:v>35.192185916785888</c:v>
                </c:pt>
                <c:pt idx="12">
                  <c:v>35.784863359213986</c:v>
                </c:pt>
                <c:pt idx="13">
                  <c:v>36.762061145223043</c:v>
                </c:pt>
                <c:pt idx="14">
                  <c:v>37.890310715968262</c:v>
                </c:pt>
                <c:pt idx="15">
                  <c:v>36.210278808341634</c:v>
                </c:pt>
                <c:pt idx="16">
                  <c:v>35.868377085684031</c:v>
                </c:pt>
                <c:pt idx="17">
                  <c:v>34.36176319772423</c:v>
                </c:pt>
                <c:pt idx="18">
                  <c:v>36.827387438692703</c:v>
                </c:pt>
                <c:pt idx="19">
                  <c:v>38.245400022112761</c:v>
                </c:pt>
                <c:pt idx="20">
                  <c:v>38.346797536600846</c:v>
                </c:pt>
                <c:pt idx="21">
                  <c:v>40.753445880319397</c:v>
                </c:pt>
                <c:pt idx="22">
                  <c:v>40.30651295093881</c:v>
                </c:pt>
                <c:pt idx="23">
                  <c:v>40.788656618214347</c:v>
                </c:pt>
                <c:pt idx="24">
                  <c:v>41.172446841075939</c:v>
                </c:pt>
                <c:pt idx="25">
                  <c:v>43.390500977102732</c:v>
                </c:pt>
                <c:pt idx="26">
                  <c:v>44.264026655872946</c:v>
                </c:pt>
                <c:pt idx="27">
                  <c:v>43.48686709564614</c:v>
                </c:pt>
                <c:pt idx="28">
                  <c:v>44.173282424318117</c:v>
                </c:pt>
                <c:pt idx="29">
                  <c:v>46.295515541443557</c:v>
                </c:pt>
                <c:pt idx="30">
                  <c:v>47.376886389620935</c:v>
                </c:pt>
                <c:pt idx="31">
                  <c:v>45.507759265043802</c:v>
                </c:pt>
                <c:pt idx="32">
                  <c:v>46.728641745397006</c:v>
                </c:pt>
                <c:pt idx="33">
                  <c:v>46.823973169799864</c:v>
                </c:pt>
                <c:pt idx="34">
                  <c:v>48.38607214553722</c:v>
                </c:pt>
                <c:pt idx="35">
                  <c:v>48.84155512447979</c:v>
                </c:pt>
                <c:pt idx="36">
                  <c:v>47.563968458191383</c:v>
                </c:pt>
                <c:pt idx="37">
                  <c:v>48.999767201921784</c:v>
                </c:pt>
                <c:pt idx="38">
                  <c:v>52.031757641507696</c:v>
                </c:pt>
                <c:pt idx="39">
                  <c:v>53.866277927842859</c:v>
                </c:pt>
                <c:pt idx="40">
                  <c:v>58.576639008456787</c:v>
                </c:pt>
                <c:pt idx="41">
                  <c:v>56.431930747599779</c:v>
                </c:pt>
                <c:pt idx="42">
                  <c:v>56.681582452796391</c:v>
                </c:pt>
                <c:pt idx="43">
                  <c:v>58.528902079215996</c:v>
                </c:pt>
                <c:pt idx="44">
                  <c:v>60.103957985733786</c:v>
                </c:pt>
                <c:pt idx="45">
                  <c:v>60.156264944560633</c:v>
                </c:pt>
                <c:pt idx="46">
                  <c:v>62.465596357261248</c:v>
                </c:pt>
                <c:pt idx="47">
                  <c:v>67.417071480448072</c:v>
                </c:pt>
                <c:pt idx="48">
                  <c:v>69.543070873385105</c:v>
                </c:pt>
                <c:pt idx="49">
                  <c:v>67.840683183888075</c:v>
                </c:pt>
                <c:pt idx="50">
                  <c:v>73.265123918333799</c:v>
                </c:pt>
                <c:pt idx="51">
                  <c:v>70.252063736605976</c:v>
                </c:pt>
                <c:pt idx="52">
                  <c:v>76.540446650630798</c:v>
                </c:pt>
                <c:pt idx="53">
                  <c:v>67.580098976014341</c:v>
                </c:pt>
                <c:pt idx="54">
                  <c:v>66.13222284042466</c:v>
                </c:pt>
                <c:pt idx="55">
                  <c:v>70.414015798938067</c:v>
                </c:pt>
                <c:pt idx="56">
                  <c:v>67.424355821864054</c:v>
                </c:pt>
                <c:pt idx="57">
                  <c:v>62.389982988692893</c:v>
                </c:pt>
                <c:pt idx="58">
                  <c:v>67.545019115227277</c:v>
                </c:pt>
                <c:pt idx="59">
                  <c:v>71.863311465020985</c:v>
                </c:pt>
                <c:pt idx="60">
                  <c:v>69.697878794568183</c:v>
                </c:pt>
                <c:pt idx="61">
                  <c:v>61.753565786883954</c:v>
                </c:pt>
                <c:pt idx="62">
                  <c:v>64.615935691655991</c:v>
                </c:pt>
                <c:pt idx="63">
                  <c:v>64.024098950916297</c:v>
                </c:pt>
                <c:pt idx="64">
                  <c:v>63.593807083933562</c:v>
                </c:pt>
                <c:pt idx="65">
                  <c:v>67.866791367823865</c:v>
                </c:pt>
                <c:pt idx="66">
                  <c:v>63.16799341475447</c:v>
                </c:pt>
                <c:pt idx="67">
                  <c:v>66.899493988230489</c:v>
                </c:pt>
                <c:pt idx="68">
                  <c:v>63.088571074017253</c:v>
                </c:pt>
                <c:pt idx="69">
                  <c:v>63.11122577603426</c:v>
                </c:pt>
                <c:pt idx="70">
                  <c:v>61.582593364861268</c:v>
                </c:pt>
                <c:pt idx="71">
                  <c:v>59.39081076696668</c:v>
                </c:pt>
                <c:pt idx="72">
                  <c:v>59.06585249798939</c:v>
                </c:pt>
                <c:pt idx="73">
                  <c:v>58.852793927164733</c:v>
                </c:pt>
                <c:pt idx="74">
                  <c:v>62.382901163615756</c:v>
                </c:pt>
                <c:pt idx="75">
                  <c:v>60.823107838895467</c:v>
                </c:pt>
                <c:pt idx="76">
                  <c:v>57.807879484790604</c:v>
                </c:pt>
                <c:pt idx="77">
                  <c:v>61.297628759443469</c:v>
                </c:pt>
                <c:pt idx="78">
                  <c:v>62.570523797693205</c:v>
                </c:pt>
                <c:pt idx="79">
                  <c:v>57.754545258984528</c:v>
                </c:pt>
                <c:pt idx="80">
                  <c:v>56.52808956790529</c:v>
                </c:pt>
                <c:pt idx="81">
                  <c:v>57.857681521115055</c:v>
                </c:pt>
                <c:pt idx="82">
                  <c:v>56.89706135846135</c:v>
                </c:pt>
                <c:pt idx="83">
                  <c:v>60.006666765052472</c:v>
                </c:pt>
                <c:pt idx="84">
                  <c:v>56.628272279438391</c:v>
                </c:pt>
                <c:pt idx="85">
                  <c:v>57.451011652261272</c:v>
                </c:pt>
                <c:pt idx="86">
                  <c:v>54.305400264666822</c:v>
                </c:pt>
                <c:pt idx="87">
                  <c:v>52.056180469206822</c:v>
                </c:pt>
                <c:pt idx="88">
                  <c:v>48.776950528967298</c:v>
                </c:pt>
                <c:pt idx="89">
                  <c:v>43.325897938322335</c:v>
                </c:pt>
                <c:pt idx="90">
                  <c:v>43.708233987338147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C7-4AF6-963C-403110EF930E}"/>
            </c:ext>
          </c:extLst>
        </c:ser>
        <c:ser>
          <c:idx val="2"/>
          <c:order val="2"/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trajectoires!$K$3:$K$93</c:f>
              <c:numCache>
                <c:formatCode>General</c:formatCode>
                <c:ptCount val="91"/>
                <c:pt idx="0">
                  <c:v>40</c:v>
                </c:pt>
                <c:pt idx="1">
                  <c:v>42.466350420014862</c:v>
                </c:pt>
                <c:pt idx="2">
                  <c:v>40.659243671817556</c:v>
                </c:pt>
                <c:pt idx="3">
                  <c:v>40.369673460779524</c:v>
                </c:pt>
                <c:pt idx="4">
                  <c:v>38.973567434025547</c:v>
                </c:pt>
                <c:pt idx="5">
                  <c:v>40.590787669478026</c:v>
                </c:pt>
                <c:pt idx="6">
                  <c:v>41.480747200409702</c:v>
                </c:pt>
                <c:pt idx="7">
                  <c:v>38.507006834161977</c:v>
                </c:pt>
                <c:pt idx="8">
                  <c:v>38.627551199707206</c:v>
                </c:pt>
                <c:pt idx="9">
                  <c:v>40.291530777648632</c:v>
                </c:pt>
                <c:pt idx="10">
                  <c:v>39.67359258665595</c:v>
                </c:pt>
                <c:pt idx="11">
                  <c:v>39.719531342098421</c:v>
                </c:pt>
                <c:pt idx="12">
                  <c:v>38.893631928243053</c:v>
                </c:pt>
                <c:pt idx="13">
                  <c:v>37.853259731463659</c:v>
                </c:pt>
                <c:pt idx="14">
                  <c:v>38.618378754002087</c:v>
                </c:pt>
                <c:pt idx="15">
                  <c:v>37.847081235766879</c:v>
                </c:pt>
                <c:pt idx="16">
                  <c:v>36.362731361185212</c:v>
                </c:pt>
                <c:pt idx="17">
                  <c:v>36.104979809144439</c:v>
                </c:pt>
                <c:pt idx="18">
                  <c:v>34.630268304253313</c:v>
                </c:pt>
                <c:pt idx="19">
                  <c:v>36.518193998144213</c:v>
                </c:pt>
                <c:pt idx="20">
                  <c:v>36.257843057098462</c:v>
                </c:pt>
                <c:pt idx="21">
                  <c:v>35.023832880395844</c:v>
                </c:pt>
                <c:pt idx="22">
                  <c:v>35.352303705966605</c:v>
                </c:pt>
                <c:pt idx="23">
                  <c:v>36.585979664971518</c:v>
                </c:pt>
                <c:pt idx="24">
                  <c:v>33.286447429023191</c:v>
                </c:pt>
                <c:pt idx="25">
                  <c:v>33.178781643225221</c:v>
                </c:pt>
                <c:pt idx="26">
                  <c:v>35.450216818768439</c:v>
                </c:pt>
                <c:pt idx="27">
                  <c:v>36.267546768766586</c:v>
                </c:pt>
                <c:pt idx="28">
                  <c:v>38.353996997540207</c:v>
                </c:pt>
                <c:pt idx="29">
                  <c:v>39.211450145447877</c:v>
                </c:pt>
                <c:pt idx="30">
                  <c:v>38.91950088021165</c:v>
                </c:pt>
                <c:pt idx="31">
                  <c:v>39.290271910533043</c:v>
                </c:pt>
                <c:pt idx="32">
                  <c:v>39.334945066825206</c:v>
                </c:pt>
                <c:pt idx="33">
                  <c:v>38.192232824821623</c:v>
                </c:pt>
                <c:pt idx="34">
                  <c:v>35.644198791345239</c:v>
                </c:pt>
                <c:pt idx="35">
                  <c:v>37.154779567857823</c:v>
                </c:pt>
                <c:pt idx="36">
                  <c:v>35.474724766596594</c:v>
                </c:pt>
                <c:pt idx="37">
                  <c:v>34.41909890818475</c:v>
                </c:pt>
                <c:pt idx="38">
                  <c:v>34.535680833327049</c:v>
                </c:pt>
                <c:pt idx="39">
                  <c:v>37.619436642564764</c:v>
                </c:pt>
                <c:pt idx="40">
                  <c:v>37.536216926759522</c:v>
                </c:pt>
                <c:pt idx="41">
                  <c:v>37.031435191949789</c:v>
                </c:pt>
                <c:pt idx="42">
                  <c:v>36.75787624140716</c:v>
                </c:pt>
                <c:pt idx="43">
                  <c:v>37.921755157252072</c:v>
                </c:pt>
                <c:pt idx="44">
                  <c:v>37.302388800313665</c:v>
                </c:pt>
                <c:pt idx="45">
                  <c:v>37.663881931008326</c:v>
                </c:pt>
                <c:pt idx="46">
                  <c:v>35.882211910812025</c:v>
                </c:pt>
                <c:pt idx="47">
                  <c:v>35.622281072279748</c:v>
                </c:pt>
                <c:pt idx="48">
                  <c:v>37.100871507761688</c:v>
                </c:pt>
                <c:pt idx="49">
                  <c:v>37.810432343335457</c:v>
                </c:pt>
                <c:pt idx="50">
                  <c:v>38.527616042954726</c:v>
                </c:pt>
                <c:pt idx="51">
                  <c:v>39.431182009010726</c:v>
                </c:pt>
                <c:pt idx="52">
                  <c:v>39.19777904267972</c:v>
                </c:pt>
                <c:pt idx="53">
                  <c:v>39.021488242654407</c:v>
                </c:pt>
                <c:pt idx="54">
                  <c:v>39.11535746406031</c:v>
                </c:pt>
                <c:pt idx="55">
                  <c:v>40.699837751316736</c:v>
                </c:pt>
                <c:pt idx="56">
                  <c:v>42.694225838045412</c:v>
                </c:pt>
                <c:pt idx="57">
                  <c:v>44.083558305942397</c:v>
                </c:pt>
                <c:pt idx="58">
                  <c:v>46.853467580564626</c:v>
                </c:pt>
                <c:pt idx="59">
                  <c:v>44.460886258909859</c:v>
                </c:pt>
                <c:pt idx="60">
                  <c:v>48.087920747852458</c:v>
                </c:pt>
                <c:pt idx="61">
                  <c:v>45.965395264882069</c:v>
                </c:pt>
                <c:pt idx="62">
                  <c:v>42.964671006702631</c:v>
                </c:pt>
                <c:pt idx="63">
                  <c:v>47.072918708997534</c:v>
                </c:pt>
                <c:pt idx="64">
                  <c:v>50.255888397723723</c:v>
                </c:pt>
                <c:pt idx="65">
                  <c:v>51.663771606288257</c:v>
                </c:pt>
                <c:pt idx="66">
                  <c:v>54.441692096221274</c:v>
                </c:pt>
                <c:pt idx="67">
                  <c:v>56.638261834617268</c:v>
                </c:pt>
                <c:pt idx="68">
                  <c:v>55.721382055049865</c:v>
                </c:pt>
                <c:pt idx="69">
                  <c:v>54.287176871528047</c:v>
                </c:pt>
                <c:pt idx="70">
                  <c:v>55.033801958962563</c:v>
                </c:pt>
                <c:pt idx="71">
                  <c:v>60.239576750898372</c:v>
                </c:pt>
                <c:pt idx="72">
                  <c:v>60.284454603431435</c:v>
                </c:pt>
                <c:pt idx="73">
                  <c:v>63.880748056706111</c:v>
                </c:pt>
                <c:pt idx="74">
                  <c:v>60.882735456196123</c:v>
                </c:pt>
                <c:pt idx="75">
                  <c:v>60.934917756828227</c:v>
                </c:pt>
                <c:pt idx="76">
                  <c:v>63.521664289660947</c:v>
                </c:pt>
                <c:pt idx="77">
                  <c:v>64.288065796750828</c:v>
                </c:pt>
                <c:pt idx="78">
                  <c:v>64.316419708924371</c:v>
                </c:pt>
                <c:pt idx="79">
                  <c:v>64.459025083762796</c:v>
                </c:pt>
                <c:pt idx="80">
                  <c:v>68.10136699979428</c:v>
                </c:pt>
                <c:pt idx="81">
                  <c:v>60.620191590811714</c:v>
                </c:pt>
                <c:pt idx="82">
                  <c:v>62.096699597208044</c:v>
                </c:pt>
                <c:pt idx="83">
                  <c:v>60.507376100021439</c:v>
                </c:pt>
                <c:pt idx="84">
                  <c:v>62.100583617241739</c:v>
                </c:pt>
                <c:pt idx="85">
                  <c:v>60.414625078361965</c:v>
                </c:pt>
                <c:pt idx="86">
                  <c:v>63.826206688846788</c:v>
                </c:pt>
                <c:pt idx="87">
                  <c:v>63.448256590012015</c:v>
                </c:pt>
                <c:pt idx="88">
                  <c:v>62.273779979696307</c:v>
                </c:pt>
                <c:pt idx="89">
                  <c:v>64.429526581704721</c:v>
                </c:pt>
                <c:pt idx="90">
                  <c:v>66.337306285103011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C7-4AF6-963C-403110EF930E}"/>
            </c:ext>
          </c:extLst>
        </c:ser>
        <c:ser>
          <c:idx val="3"/>
          <c:order val="3"/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trajectoires!$L$3:$L$93</c:f>
              <c:numCache>
                <c:formatCode>General</c:formatCode>
                <c:ptCount val="91"/>
                <c:pt idx="0">
                  <c:v>40</c:v>
                </c:pt>
                <c:pt idx="1">
                  <c:v>41.932378080208807</c:v>
                </c:pt>
                <c:pt idx="2">
                  <c:v>40.903525219543255</c:v>
                </c:pt>
                <c:pt idx="3">
                  <c:v>40.533802214576959</c:v>
                </c:pt>
                <c:pt idx="4">
                  <c:v>42.153130425534798</c:v>
                </c:pt>
                <c:pt idx="5">
                  <c:v>42.148008774312068</c:v>
                </c:pt>
                <c:pt idx="6">
                  <c:v>43.816810947365482</c:v>
                </c:pt>
                <c:pt idx="7">
                  <c:v>43.453848156600152</c:v>
                </c:pt>
                <c:pt idx="8">
                  <c:v>41.758150405651591</c:v>
                </c:pt>
                <c:pt idx="9">
                  <c:v>44.166440731177389</c:v>
                </c:pt>
                <c:pt idx="10">
                  <c:v>46.444643782758192</c:v>
                </c:pt>
                <c:pt idx="11">
                  <c:v>50.339345495797268</c:v>
                </c:pt>
                <c:pt idx="12">
                  <c:v>47.033760829394559</c:v>
                </c:pt>
                <c:pt idx="13">
                  <c:v>45.585638747606282</c:v>
                </c:pt>
                <c:pt idx="14">
                  <c:v>47.644623611656677</c:v>
                </c:pt>
                <c:pt idx="15">
                  <c:v>45.129461877961731</c:v>
                </c:pt>
                <c:pt idx="16">
                  <c:v>40.662935952303179</c:v>
                </c:pt>
                <c:pt idx="17">
                  <c:v>40.48199475013709</c:v>
                </c:pt>
                <c:pt idx="18">
                  <c:v>39.971394137300486</c:v>
                </c:pt>
                <c:pt idx="19">
                  <c:v>43.015298067717275</c:v>
                </c:pt>
                <c:pt idx="20">
                  <c:v>42.706007758740888</c:v>
                </c:pt>
                <c:pt idx="21">
                  <c:v>44.25054196242008</c:v>
                </c:pt>
                <c:pt idx="22">
                  <c:v>46.534448337291749</c:v>
                </c:pt>
                <c:pt idx="23">
                  <c:v>45.566577512083647</c:v>
                </c:pt>
                <c:pt idx="24">
                  <c:v>45.816781072217744</c:v>
                </c:pt>
                <c:pt idx="25">
                  <c:v>46.735536518204448</c:v>
                </c:pt>
                <c:pt idx="26">
                  <c:v>47.334814945915831</c:v>
                </c:pt>
                <c:pt idx="27">
                  <c:v>47.132250121393035</c:v>
                </c:pt>
                <c:pt idx="28">
                  <c:v>49.255750363140407</c:v>
                </c:pt>
                <c:pt idx="29">
                  <c:v>43.906329153681106</c:v>
                </c:pt>
                <c:pt idx="30">
                  <c:v>43.078846950304303</c:v>
                </c:pt>
                <c:pt idx="31">
                  <c:v>43.538724668674853</c:v>
                </c:pt>
                <c:pt idx="32">
                  <c:v>44.098180078475579</c:v>
                </c:pt>
                <c:pt idx="33">
                  <c:v>44.77081392424045</c:v>
                </c:pt>
                <c:pt idx="34">
                  <c:v>42.57094760328102</c:v>
                </c:pt>
                <c:pt idx="35">
                  <c:v>42.366471713129165</c:v>
                </c:pt>
                <c:pt idx="36">
                  <c:v>39.6960507904788</c:v>
                </c:pt>
                <c:pt idx="37">
                  <c:v>41.096789378398185</c:v>
                </c:pt>
                <c:pt idx="38">
                  <c:v>42.527089194052913</c:v>
                </c:pt>
                <c:pt idx="39">
                  <c:v>46.886031886461048</c:v>
                </c:pt>
                <c:pt idx="40">
                  <c:v>49.052889856920558</c:v>
                </c:pt>
                <c:pt idx="41">
                  <c:v>50.824870620140054</c:v>
                </c:pt>
                <c:pt idx="42">
                  <c:v>50.723827621199121</c:v>
                </c:pt>
                <c:pt idx="43">
                  <c:v>52.581087364534149</c:v>
                </c:pt>
                <c:pt idx="44">
                  <c:v>55.033382796294532</c:v>
                </c:pt>
                <c:pt idx="45">
                  <c:v>56.07804900899162</c:v>
                </c:pt>
                <c:pt idx="46">
                  <c:v>56.848737425239037</c:v>
                </c:pt>
                <c:pt idx="47">
                  <c:v>56.180944695685142</c:v>
                </c:pt>
                <c:pt idx="48">
                  <c:v>50.893155935476507</c:v>
                </c:pt>
                <c:pt idx="49">
                  <c:v>50.158470694428352</c:v>
                </c:pt>
                <c:pt idx="50">
                  <c:v>52.244224757654393</c:v>
                </c:pt>
                <c:pt idx="51">
                  <c:v>49.030397738215179</c:v>
                </c:pt>
                <c:pt idx="52">
                  <c:v>48.356543160795361</c:v>
                </c:pt>
                <c:pt idx="53">
                  <c:v>45.53674892077585</c:v>
                </c:pt>
                <c:pt idx="54">
                  <c:v>45.817139129927369</c:v>
                </c:pt>
                <c:pt idx="55">
                  <c:v>45.536546043426689</c:v>
                </c:pt>
                <c:pt idx="56">
                  <c:v>46.458197967460499</c:v>
                </c:pt>
                <c:pt idx="57">
                  <c:v>46.284688960851</c:v>
                </c:pt>
                <c:pt idx="58">
                  <c:v>45.51930332503639</c:v>
                </c:pt>
                <c:pt idx="59">
                  <c:v>48.817965682562509</c:v>
                </c:pt>
                <c:pt idx="60">
                  <c:v>51.304060177803279</c:v>
                </c:pt>
                <c:pt idx="61">
                  <c:v>51.453453559416644</c:v>
                </c:pt>
                <c:pt idx="62">
                  <c:v>51.808669378502543</c:v>
                </c:pt>
                <c:pt idx="63">
                  <c:v>52.536233279331412</c:v>
                </c:pt>
                <c:pt idx="64">
                  <c:v>55.961215102543804</c:v>
                </c:pt>
                <c:pt idx="65">
                  <c:v>56.548586571411064</c:v>
                </c:pt>
                <c:pt idx="66">
                  <c:v>57.4451008394852</c:v>
                </c:pt>
                <c:pt idx="67">
                  <c:v>59.169208629755452</c:v>
                </c:pt>
                <c:pt idx="68">
                  <c:v>60.711143542250674</c:v>
                </c:pt>
                <c:pt idx="69">
                  <c:v>62.093829833273048</c:v>
                </c:pt>
                <c:pt idx="70">
                  <c:v>61.780283714816164</c:v>
                </c:pt>
                <c:pt idx="71">
                  <c:v>59.584881119111451</c:v>
                </c:pt>
                <c:pt idx="72">
                  <c:v>60.782089829776687</c:v>
                </c:pt>
                <c:pt idx="73">
                  <c:v>56.024686954152678</c:v>
                </c:pt>
                <c:pt idx="74">
                  <c:v>57.889062229409831</c:v>
                </c:pt>
                <c:pt idx="75">
                  <c:v>60.483220546259552</c:v>
                </c:pt>
                <c:pt idx="76">
                  <c:v>60.973224428731662</c:v>
                </c:pt>
                <c:pt idx="77">
                  <c:v>55.966968339823374</c:v>
                </c:pt>
                <c:pt idx="78">
                  <c:v>56.657569904137027</c:v>
                </c:pt>
                <c:pt idx="79">
                  <c:v>62.982728549760949</c:v>
                </c:pt>
                <c:pt idx="80">
                  <c:v>62.631609548613632</c:v>
                </c:pt>
                <c:pt idx="81">
                  <c:v>68.453881701611309</c:v>
                </c:pt>
                <c:pt idx="82">
                  <c:v>67.813569234199633</c:v>
                </c:pt>
                <c:pt idx="83">
                  <c:v>75.397441784974205</c:v>
                </c:pt>
                <c:pt idx="84">
                  <c:v>73.553602987392892</c:v>
                </c:pt>
                <c:pt idx="85">
                  <c:v>78.840313047960464</c:v>
                </c:pt>
                <c:pt idx="86">
                  <c:v>74.727651340234203</c:v>
                </c:pt>
                <c:pt idx="87">
                  <c:v>74.900643734517843</c:v>
                </c:pt>
                <c:pt idx="88">
                  <c:v>72.31501918770978</c:v>
                </c:pt>
                <c:pt idx="89">
                  <c:v>75.634921399237768</c:v>
                </c:pt>
                <c:pt idx="90">
                  <c:v>77.299787541577672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C7-4AF6-963C-403110EF930E}"/>
            </c:ext>
          </c:extLst>
        </c:ser>
        <c:ser>
          <c:idx val="4"/>
          <c:order val="4"/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trajectoires!$M$3:$M$93</c:f>
              <c:numCache>
                <c:formatCode>General</c:formatCode>
                <c:ptCount val="91"/>
                <c:pt idx="0">
                  <c:v>40</c:v>
                </c:pt>
                <c:pt idx="1">
                  <c:v>40.36896753383823</c:v>
                </c:pt>
                <c:pt idx="2">
                  <c:v>39.901686542480839</c:v>
                </c:pt>
                <c:pt idx="3">
                  <c:v>40.375298202334136</c:v>
                </c:pt>
                <c:pt idx="4">
                  <c:v>38.45479662776328</c:v>
                </c:pt>
                <c:pt idx="5">
                  <c:v>37.254023083727724</c:v>
                </c:pt>
                <c:pt idx="6">
                  <c:v>35.564764381566675</c:v>
                </c:pt>
                <c:pt idx="7">
                  <c:v>36.473672584220616</c:v>
                </c:pt>
                <c:pt idx="8">
                  <c:v>36.628311036619415</c:v>
                </c:pt>
                <c:pt idx="9">
                  <c:v>38.453714003164073</c:v>
                </c:pt>
                <c:pt idx="10">
                  <c:v>36.743721715836337</c:v>
                </c:pt>
                <c:pt idx="11">
                  <c:v>36.989215036906707</c:v>
                </c:pt>
                <c:pt idx="12">
                  <c:v>38.777690260859671</c:v>
                </c:pt>
                <c:pt idx="13">
                  <c:v>38.632195762498291</c:v>
                </c:pt>
                <c:pt idx="14">
                  <c:v>38.656089353822807</c:v>
                </c:pt>
                <c:pt idx="15">
                  <c:v>38.581660374882858</c:v>
                </c:pt>
                <c:pt idx="16">
                  <c:v>35.471705677776214</c:v>
                </c:pt>
                <c:pt idx="17">
                  <c:v>36.518286753462014</c:v>
                </c:pt>
                <c:pt idx="18">
                  <c:v>37.053062562334162</c:v>
                </c:pt>
                <c:pt idx="19">
                  <c:v>35.770268614055539</c:v>
                </c:pt>
                <c:pt idx="20">
                  <c:v>36.025404427270566</c:v>
                </c:pt>
                <c:pt idx="21">
                  <c:v>38.708863253958221</c:v>
                </c:pt>
                <c:pt idx="22">
                  <c:v>38.558473366739499</c:v>
                </c:pt>
                <c:pt idx="23">
                  <c:v>37.775776421830585</c:v>
                </c:pt>
                <c:pt idx="24">
                  <c:v>38.106492240317642</c:v>
                </c:pt>
                <c:pt idx="25">
                  <c:v>37.733578630152003</c:v>
                </c:pt>
                <c:pt idx="26">
                  <c:v>39.571397527232484</c:v>
                </c:pt>
                <c:pt idx="27">
                  <c:v>40.524300193022412</c:v>
                </c:pt>
                <c:pt idx="28">
                  <c:v>39.098551114791576</c:v>
                </c:pt>
                <c:pt idx="29">
                  <c:v>39.005348983935562</c:v>
                </c:pt>
                <c:pt idx="30">
                  <c:v>39.281620356209281</c:v>
                </c:pt>
                <c:pt idx="31">
                  <c:v>37.542928601910496</c:v>
                </c:pt>
                <c:pt idx="32">
                  <c:v>36.679315100779725</c:v>
                </c:pt>
                <c:pt idx="33">
                  <c:v>36.398645504342866</c:v>
                </c:pt>
                <c:pt idx="34">
                  <c:v>37.88129292123471</c:v>
                </c:pt>
                <c:pt idx="35">
                  <c:v>38.152650547627147</c:v>
                </c:pt>
                <c:pt idx="36">
                  <c:v>38.585845485173003</c:v>
                </c:pt>
                <c:pt idx="37">
                  <c:v>36.621773183650944</c:v>
                </c:pt>
                <c:pt idx="38">
                  <c:v>38.434939712354243</c:v>
                </c:pt>
                <c:pt idx="39">
                  <c:v>40.27465450302698</c:v>
                </c:pt>
                <c:pt idx="40">
                  <c:v>40.987613685356195</c:v>
                </c:pt>
                <c:pt idx="41">
                  <c:v>40.149713885934126</c:v>
                </c:pt>
                <c:pt idx="42">
                  <c:v>39.63110195315879</c:v>
                </c:pt>
                <c:pt idx="43">
                  <c:v>39.468047175785117</c:v>
                </c:pt>
                <c:pt idx="44">
                  <c:v>40.247772501598149</c:v>
                </c:pt>
                <c:pt idx="45">
                  <c:v>42.132357850701389</c:v>
                </c:pt>
                <c:pt idx="46">
                  <c:v>38.961300760369177</c:v>
                </c:pt>
                <c:pt idx="47">
                  <c:v>36.712635703616577</c:v>
                </c:pt>
                <c:pt idx="48">
                  <c:v>37.969859891286319</c:v>
                </c:pt>
                <c:pt idx="49">
                  <c:v>38.341331492813396</c:v>
                </c:pt>
                <c:pt idx="50">
                  <c:v>36.30327344510453</c:v>
                </c:pt>
                <c:pt idx="51">
                  <c:v>37.591109853898267</c:v>
                </c:pt>
                <c:pt idx="52">
                  <c:v>35.647095047456965</c:v>
                </c:pt>
                <c:pt idx="53">
                  <c:v>35.478261078257553</c:v>
                </c:pt>
                <c:pt idx="54">
                  <c:v>33.424783284902617</c:v>
                </c:pt>
                <c:pt idx="55">
                  <c:v>31.505527985853348</c:v>
                </c:pt>
                <c:pt idx="56">
                  <c:v>30.346434353175585</c:v>
                </c:pt>
                <c:pt idx="57">
                  <c:v>30.195851460486157</c:v>
                </c:pt>
                <c:pt idx="58">
                  <c:v>30.320171022169756</c:v>
                </c:pt>
                <c:pt idx="59">
                  <c:v>29.932783223724226</c:v>
                </c:pt>
                <c:pt idx="60">
                  <c:v>31.269651255236003</c:v>
                </c:pt>
                <c:pt idx="61">
                  <c:v>32.434688296038644</c:v>
                </c:pt>
                <c:pt idx="62">
                  <c:v>35.412554147667592</c:v>
                </c:pt>
                <c:pt idx="63">
                  <c:v>35.406929194211941</c:v>
                </c:pt>
                <c:pt idx="64">
                  <c:v>36.104513261036793</c:v>
                </c:pt>
                <c:pt idx="65">
                  <c:v>37.116903494821834</c:v>
                </c:pt>
                <c:pt idx="66">
                  <c:v>37.470911852979754</c:v>
                </c:pt>
                <c:pt idx="67">
                  <c:v>38.596583681409044</c:v>
                </c:pt>
                <c:pt idx="68">
                  <c:v>39.753517980625475</c:v>
                </c:pt>
                <c:pt idx="69">
                  <c:v>45.471416555029954</c:v>
                </c:pt>
                <c:pt idx="70">
                  <c:v>46.261139162862179</c:v>
                </c:pt>
                <c:pt idx="71">
                  <c:v>50.321421130566122</c:v>
                </c:pt>
                <c:pt idx="72">
                  <c:v>50.045227221201841</c:v>
                </c:pt>
                <c:pt idx="73">
                  <c:v>50.762619257172673</c:v>
                </c:pt>
                <c:pt idx="74">
                  <c:v>54.942214534630544</c:v>
                </c:pt>
                <c:pt idx="75">
                  <c:v>55.557826787737312</c:v>
                </c:pt>
                <c:pt idx="76">
                  <c:v>55.500798567708316</c:v>
                </c:pt>
                <c:pt idx="77">
                  <c:v>54.540137500142492</c:v>
                </c:pt>
                <c:pt idx="78">
                  <c:v>55.174002303909084</c:v>
                </c:pt>
                <c:pt idx="79">
                  <c:v>56.641589706420696</c:v>
                </c:pt>
                <c:pt idx="80">
                  <c:v>58.907067113952039</c:v>
                </c:pt>
                <c:pt idx="81">
                  <c:v>56.547475663456083</c:v>
                </c:pt>
                <c:pt idx="82">
                  <c:v>57.435215358302862</c:v>
                </c:pt>
                <c:pt idx="83">
                  <c:v>52.437109555831185</c:v>
                </c:pt>
                <c:pt idx="84">
                  <c:v>50.147088721671224</c:v>
                </c:pt>
                <c:pt idx="85">
                  <c:v>49.209750622936532</c:v>
                </c:pt>
                <c:pt idx="86">
                  <c:v>48.461940922460585</c:v>
                </c:pt>
                <c:pt idx="87">
                  <c:v>50.561219119716561</c:v>
                </c:pt>
                <c:pt idx="88">
                  <c:v>49.307109650168492</c:v>
                </c:pt>
                <c:pt idx="89">
                  <c:v>46.201990713539892</c:v>
                </c:pt>
                <c:pt idx="90">
                  <c:v>44.15554371850979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6C7-4AF6-963C-403110EF930E}"/>
            </c:ext>
          </c:extLst>
        </c:ser>
        <c:ser>
          <c:idx val="5"/>
          <c:order val="5"/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trajectoires!$N$3:$N$93</c:f>
              <c:numCache>
                <c:formatCode>General</c:formatCode>
                <c:ptCount val="91"/>
                <c:pt idx="0">
                  <c:v>40</c:v>
                </c:pt>
                <c:pt idx="1">
                  <c:v>37.87333728519522</c:v>
                </c:pt>
                <c:pt idx="2">
                  <c:v>38.664550442128458</c:v>
                </c:pt>
                <c:pt idx="3">
                  <c:v>36.345900356064618</c:v>
                </c:pt>
                <c:pt idx="4">
                  <c:v>36.275626711092045</c:v>
                </c:pt>
                <c:pt idx="5">
                  <c:v>35.037238937117017</c:v>
                </c:pt>
                <c:pt idx="6">
                  <c:v>33.677119331495746</c:v>
                </c:pt>
                <c:pt idx="7">
                  <c:v>32.053501356190488</c:v>
                </c:pt>
                <c:pt idx="8">
                  <c:v>32.111662088020459</c:v>
                </c:pt>
                <c:pt idx="9">
                  <c:v>32.714980891785977</c:v>
                </c:pt>
                <c:pt idx="10">
                  <c:v>32.291983909802539</c:v>
                </c:pt>
                <c:pt idx="11">
                  <c:v>31.549532562024133</c:v>
                </c:pt>
                <c:pt idx="12">
                  <c:v>32.176711381369309</c:v>
                </c:pt>
                <c:pt idx="13">
                  <c:v>32.418878818753313</c:v>
                </c:pt>
                <c:pt idx="14">
                  <c:v>32.336877356594378</c:v>
                </c:pt>
                <c:pt idx="15">
                  <c:v>32.480562591555717</c:v>
                </c:pt>
                <c:pt idx="16">
                  <c:v>31.623734273081286</c:v>
                </c:pt>
                <c:pt idx="17">
                  <c:v>32.016287877083705</c:v>
                </c:pt>
                <c:pt idx="18">
                  <c:v>31.659621044769018</c:v>
                </c:pt>
                <c:pt idx="19">
                  <c:v>33.614032233677655</c:v>
                </c:pt>
                <c:pt idx="20">
                  <c:v>32.427027859739411</c:v>
                </c:pt>
                <c:pt idx="21">
                  <c:v>32.865820031349529</c:v>
                </c:pt>
                <c:pt idx="22">
                  <c:v>36.933594009514408</c:v>
                </c:pt>
                <c:pt idx="23">
                  <c:v>37.702669933395761</c:v>
                </c:pt>
                <c:pt idx="24">
                  <c:v>35.119693520061283</c:v>
                </c:pt>
                <c:pt idx="25">
                  <c:v>35.06930615727731</c:v>
                </c:pt>
                <c:pt idx="26">
                  <c:v>36.239962187661803</c:v>
                </c:pt>
                <c:pt idx="27">
                  <c:v>37.04413682775786</c:v>
                </c:pt>
                <c:pt idx="28">
                  <c:v>38.618974928029573</c:v>
                </c:pt>
                <c:pt idx="29">
                  <c:v>38.246255191185959</c:v>
                </c:pt>
                <c:pt idx="30">
                  <c:v>36.475511014778952</c:v>
                </c:pt>
                <c:pt idx="31">
                  <c:v>38.510387844733188</c:v>
                </c:pt>
                <c:pt idx="32">
                  <c:v>38.514379268888973</c:v>
                </c:pt>
                <c:pt idx="33">
                  <c:v>39.037882798078208</c:v>
                </c:pt>
                <c:pt idx="34">
                  <c:v>39.438776826157664</c:v>
                </c:pt>
                <c:pt idx="35">
                  <c:v>41.166125169587843</c:v>
                </c:pt>
                <c:pt idx="36">
                  <c:v>41.380420772393023</c:v>
                </c:pt>
                <c:pt idx="37">
                  <c:v>38.953796829189294</c:v>
                </c:pt>
                <c:pt idx="38">
                  <c:v>38.433401337793484</c:v>
                </c:pt>
                <c:pt idx="39">
                  <c:v>38.928980174592809</c:v>
                </c:pt>
                <c:pt idx="40">
                  <c:v>38.531156905074987</c:v>
                </c:pt>
                <c:pt idx="41">
                  <c:v>39.496037170847565</c:v>
                </c:pt>
                <c:pt idx="42">
                  <c:v>42.427512789245874</c:v>
                </c:pt>
                <c:pt idx="43">
                  <c:v>42.467861121043029</c:v>
                </c:pt>
                <c:pt idx="44">
                  <c:v>45.974065618081966</c:v>
                </c:pt>
                <c:pt idx="45">
                  <c:v>49.204111717452136</c:v>
                </c:pt>
                <c:pt idx="46">
                  <c:v>49.60811634044115</c:v>
                </c:pt>
                <c:pt idx="47">
                  <c:v>49.732583026890509</c:v>
                </c:pt>
                <c:pt idx="48">
                  <c:v>49.673053322767053</c:v>
                </c:pt>
                <c:pt idx="49">
                  <c:v>46.733952609815958</c:v>
                </c:pt>
                <c:pt idx="50">
                  <c:v>44.644815059898349</c:v>
                </c:pt>
                <c:pt idx="51">
                  <c:v>49.029351838067832</c:v>
                </c:pt>
                <c:pt idx="52">
                  <c:v>46.711951614237549</c:v>
                </c:pt>
                <c:pt idx="53">
                  <c:v>40.792570224983109</c:v>
                </c:pt>
                <c:pt idx="54">
                  <c:v>40.632279003032451</c:v>
                </c:pt>
                <c:pt idx="55">
                  <c:v>40.482997653791067</c:v>
                </c:pt>
                <c:pt idx="56">
                  <c:v>41.004749329108641</c:v>
                </c:pt>
                <c:pt idx="57">
                  <c:v>40.419192928134315</c:v>
                </c:pt>
                <c:pt idx="58">
                  <c:v>40.953089097186783</c:v>
                </c:pt>
                <c:pt idx="59">
                  <c:v>43.453322366085146</c:v>
                </c:pt>
                <c:pt idx="60">
                  <c:v>44.934733247091188</c:v>
                </c:pt>
                <c:pt idx="61">
                  <c:v>49.008925519640272</c:v>
                </c:pt>
                <c:pt idx="62">
                  <c:v>48.35781898356985</c:v>
                </c:pt>
                <c:pt idx="63">
                  <c:v>51.799168542216663</c:v>
                </c:pt>
                <c:pt idx="64">
                  <c:v>49.670295476744748</c:v>
                </c:pt>
                <c:pt idx="65">
                  <c:v>50.456618168494067</c:v>
                </c:pt>
                <c:pt idx="66">
                  <c:v>49.391727360089682</c:v>
                </c:pt>
                <c:pt idx="67">
                  <c:v>47.952356725870089</c:v>
                </c:pt>
                <c:pt idx="68">
                  <c:v>48.779939957454474</c:v>
                </c:pt>
                <c:pt idx="69">
                  <c:v>44.985670155008712</c:v>
                </c:pt>
                <c:pt idx="70">
                  <c:v>48.887386963614603</c:v>
                </c:pt>
                <c:pt idx="71">
                  <c:v>50.898274578726493</c:v>
                </c:pt>
                <c:pt idx="72">
                  <c:v>48.71533971811521</c:v>
                </c:pt>
                <c:pt idx="73">
                  <c:v>47.504349114376055</c:v>
                </c:pt>
                <c:pt idx="74">
                  <c:v>45.10586197316043</c:v>
                </c:pt>
                <c:pt idx="75">
                  <c:v>47.260041098998606</c:v>
                </c:pt>
                <c:pt idx="76">
                  <c:v>51.519429678954729</c:v>
                </c:pt>
                <c:pt idx="77">
                  <c:v>50.215400166383247</c:v>
                </c:pt>
                <c:pt idx="78">
                  <c:v>48.35739418694282</c:v>
                </c:pt>
                <c:pt idx="79">
                  <c:v>50.911354838526449</c:v>
                </c:pt>
                <c:pt idx="80">
                  <c:v>52.427003135733813</c:v>
                </c:pt>
                <c:pt idx="81">
                  <c:v>47.930757859630717</c:v>
                </c:pt>
                <c:pt idx="82">
                  <c:v>49.179338031325763</c:v>
                </c:pt>
                <c:pt idx="83">
                  <c:v>49.563283407959503</c:v>
                </c:pt>
                <c:pt idx="84">
                  <c:v>46.746329414038861</c:v>
                </c:pt>
                <c:pt idx="85">
                  <c:v>41.399730445139518</c:v>
                </c:pt>
                <c:pt idx="86">
                  <c:v>39.978826181759842</c:v>
                </c:pt>
                <c:pt idx="87">
                  <c:v>38.128312111041282</c:v>
                </c:pt>
                <c:pt idx="88">
                  <c:v>39.746654930874939</c:v>
                </c:pt>
                <c:pt idx="89">
                  <c:v>41.888693992809792</c:v>
                </c:pt>
                <c:pt idx="90">
                  <c:v>41.191688784204274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6C7-4AF6-963C-403110EF930E}"/>
            </c:ext>
          </c:extLst>
        </c:ser>
        <c:ser>
          <c:idx val="6"/>
          <c:order val="6"/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trajectoires!$O$3:$O$93</c:f>
              <c:numCache>
                <c:formatCode>General</c:formatCode>
                <c:ptCount val="91"/>
                <c:pt idx="0">
                  <c:v>40</c:v>
                </c:pt>
                <c:pt idx="1">
                  <c:v>39.265644531294853</c:v>
                </c:pt>
                <c:pt idx="2">
                  <c:v>37.593713602354534</c:v>
                </c:pt>
                <c:pt idx="3">
                  <c:v>36.49470686547032</c:v>
                </c:pt>
                <c:pt idx="4">
                  <c:v>37.950722264864091</c:v>
                </c:pt>
                <c:pt idx="5">
                  <c:v>38.13923660803016</c:v>
                </c:pt>
                <c:pt idx="6">
                  <c:v>38.08933165267657</c:v>
                </c:pt>
                <c:pt idx="7">
                  <c:v>36.692230712429534</c:v>
                </c:pt>
                <c:pt idx="8">
                  <c:v>38.227159228769381</c:v>
                </c:pt>
                <c:pt idx="9">
                  <c:v>38.607903063140078</c:v>
                </c:pt>
                <c:pt idx="10">
                  <c:v>38.606309276640609</c:v>
                </c:pt>
                <c:pt idx="11">
                  <c:v>40.74442186090878</c:v>
                </c:pt>
                <c:pt idx="12">
                  <c:v>40.094286701213839</c:v>
                </c:pt>
                <c:pt idx="13">
                  <c:v>41.087829198958524</c:v>
                </c:pt>
                <c:pt idx="14">
                  <c:v>42.445213662058457</c:v>
                </c:pt>
                <c:pt idx="15">
                  <c:v>42.529117086528643</c:v>
                </c:pt>
                <c:pt idx="16">
                  <c:v>42.678333198419402</c:v>
                </c:pt>
                <c:pt idx="17">
                  <c:v>43.222714926521974</c:v>
                </c:pt>
                <c:pt idx="18">
                  <c:v>43.330355316269753</c:v>
                </c:pt>
                <c:pt idx="19">
                  <c:v>42.195885056665851</c:v>
                </c:pt>
                <c:pt idx="20">
                  <c:v>41.907926045943356</c:v>
                </c:pt>
                <c:pt idx="21">
                  <c:v>45.310732983614074</c:v>
                </c:pt>
                <c:pt idx="22">
                  <c:v>48.976742802461843</c:v>
                </c:pt>
                <c:pt idx="23">
                  <c:v>50.593473294553171</c:v>
                </c:pt>
                <c:pt idx="24">
                  <c:v>50.524336199156139</c:v>
                </c:pt>
                <c:pt idx="25">
                  <c:v>50.819072005836844</c:v>
                </c:pt>
                <c:pt idx="26">
                  <c:v>47.771946461656931</c:v>
                </c:pt>
                <c:pt idx="27">
                  <c:v>48.497651547870717</c:v>
                </c:pt>
                <c:pt idx="28">
                  <c:v>53.696878065367237</c:v>
                </c:pt>
                <c:pt idx="29">
                  <c:v>51.258635099597257</c:v>
                </c:pt>
                <c:pt idx="30">
                  <c:v>54.299007018237617</c:v>
                </c:pt>
                <c:pt idx="31">
                  <c:v>50.813675011075311</c:v>
                </c:pt>
                <c:pt idx="32">
                  <c:v>48.350834177844241</c:v>
                </c:pt>
                <c:pt idx="33">
                  <c:v>52.14721022838431</c:v>
                </c:pt>
                <c:pt idx="34">
                  <c:v>50.409722418648961</c:v>
                </c:pt>
                <c:pt idx="35">
                  <c:v>51.441898126455357</c:v>
                </c:pt>
                <c:pt idx="36">
                  <c:v>51.396025939186316</c:v>
                </c:pt>
                <c:pt idx="37">
                  <c:v>52.226212907661584</c:v>
                </c:pt>
                <c:pt idx="38">
                  <c:v>52.159537497621109</c:v>
                </c:pt>
                <c:pt idx="39">
                  <c:v>54.294681708347497</c:v>
                </c:pt>
                <c:pt idx="40">
                  <c:v>54.525698560499187</c:v>
                </c:pt>
                <c:pt idx="41">
                  <c:v>58.594202532397759</c:v>
                </c:pt>
                <c:pt idx="42">
                  <c:v>61.316392872887647</c:v>
                </c:pt>
                <c:pt idx="43">
                  <c:v>58.462727117749438</c:v>
                </c:pt>
                <c:pt idx="44">
                  <c:v>63.750597807975133</c:v>
                </c:pt>
                <c:pt idx="45">
                  <c:v>68.171419060999412</c:v>
                </c:pt>
                <c:pt idx="46">
                  <c:v>71.38048799512157</c:v>
                </c:pt>
                <c:pt idx="47">
                  <c:v>77.131961655456664</c:v>
                </c:pt>
                <c:pt idx="48">
                  <c:v>77.849300732284561</c:v>
                </c:pt>
                <c:pt idx="49">
                  <c:v>71.472530402221992</c:v>
                </c:pt>
                <c:pt idx="50">
                  <c:v>72.809675711360939</c:v>
                </c:pt>
                <c:pt idx="51">
                  <c:v>71.976215927164901</c:v>
                </c:pt>
                <c:pt idx="52">
                  <c:v>76.469218181804848</c:v>
                </c:pt>
                <c:pt idx="53">
                  <c:v>73.023757975996531</c:v>
                </c:pt>
                <c:pt idx="54">
                  <c:v>75.31345650497768</c:v>
                </c:pt>
                <c:pt idx="55">
                  <c:v>68.055418193461662</c:v>
                </c:pt>
                <c:pt idx="56">
                  <c:v>69.199714911499868</c:v>
                </c:pt>
                <c:pt idx="57">
                  <c:v>73.299330646344998</c:v>
                </c:pt>
                <c:pt idx="58">
                  <c:v>79.312070866494665</c:v>
                </c:pt>
                <c:pt idx="59">
                  <c:v>78.557683167141491</c:v>
                </c:pt>
                <c:pt idx="60">
                  <c:v>83.287750040245442</c:v>
                </c:pt>
                <c:pt idx="61">
                  <c:v>77.887005301916915</c:v>
                </c:pt>
                <c:pt idx="62">
                  <c:v>78.159136858852165</c:v>
                </c:pt>
                <c:pt idx="63">
                  <c:v>81.528567479089958</c:v>
                </c:pt>
                <c:pt idx="64">
                  <c:v>82.197656872756269</c:v>
                </c:pt>
                <c:pt idx="65">
                  <c:v>81.758609309201859</c:v>
                </c:pt>
                <c:pt idx="66">
                  <c:v>89.766587293062017</c:v>
                </c:pt>
                <c:pt idx="67">
                  <c:v>102.61149905631127</c:v>
                </c:pt>
                <c:pt idx="68">
                  <c:v>98.315748018535331</c:v>
                </c:pt>
                <c:pt idx="69">
                  <c:v>103.51790324574192</c:v>
                </c:pt>
                <c:pt idx="70">
                  <c:v>101.59158036358959</c:v>
                </c:pt>
                <c:pt idx="71">
                  <c:v>105.48178006710953</c:v>
                </c:pt>
                <c:pt idx="72">
                  <c:v>111.53865878992561</c:v>
                </c:pt>
                <c:pt idx="73">
                  <c:v>111.18885999594113</c:v>
                </c:pt>
                <c:pt idx="74">
                  <c:v>120.49395274516704</c:v>
                </c:pt>
                <c:pt idx="75">
                  <c:v>120.29282731629796</c:v>
                </c:pt>
                <c:pt idx="76">
                  <c:v>130.35673542322397</c:v>
                </c:pt>
                <c:pt idx="77">
                  <c:v>137.95940743115526</c:v>
                </c:pt>
                <c:pt idx="78">
                  <c:v>138.70109218343282</c:v>
                </c:pt>
                <c:pt idx="79">
                  <c:v>131.54637747360397</c:v>
                </c:pt>
                <c:pt idx="80">
                  <c:v>148.72314661418378</c:v>
                </c:pt>
                <c:pt idx="81">
                  <c:v>155.59665091087894</c:v>
                </c:pt>
                <c:pt idx="82">
                  <c:v>143.00473157051917</c:v>
                </c:pt>
                <c:pt idx="83">
                  <c:v>149.08547604928333</c:v>
                </c:pt>
                <c:pt idx="84">
                  <c:v>138.71363784344371</c:v>
                </c:pt>
                <c:pt idx="85">
                  <c:v>137.06023453362675</c:v>
                </c:pt>
                <c:pt idx="86">
                  <c:v>129.7324331041857</c:v>
                </c:pt>
                <c:pt idx="87">
                  <c:v>130.88333435385584</c:v>
                </c:pt>
                <c:pt idx="88">
                  <c:v>139.94844369621507</c:v>
                </c:pt>
                <c:pt idx="89">
                  <c:v>146.0664775854294</c:v>
                </c:pt>
                <c:pt idx="90">
                  <c:v>150.50686102366251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6C7-4AF6-963C-403110EF930E}"/>
            </c:ext>
          </c:extLst>
        </c:ser>
        <c:ser>
          <c:idx val="7"/>
          <c:order val="7"/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trajectoires!$P$3:$P$93</c:f>
              <c:numCache>
                <c:formatCode>General</c:formatCode>
                <c:ptCount val="91"/>
                <c:pt idx="0">
                  <c:v>40</c:v>
                </c:pt>
                <c:pt idx="1">
                  <c:v>39.778319563313175</c:v>
                </c:pt>
                <c:pt idx="2">
                  <c:v>40.772451562942443</c:v>
                </c:pt>
                <c:pt idx="3">
                  <c:v>38.575289911393618</c:v>
                </c:pt>
                <c:pt idx="4">
                  <c:v>42.551855327503496</c:v>
                </c:pt>
                <c:pt idx="5">
                  <c:v>42.492867310793756</c:v>
                </c:pt>
                <c:pt idx="6">
                  <c:v>41.475457306966888</c:v>
                </c:pt>
                <c:pt idx="7">
                  <c:v>40.770192306329719</c:v>
                </c:pt>
                <c:pt idx="8">
                  <c:v>41.69044769918947</c:v>
                </c:pt>
                <c:pt idx="9">
                  <c:v>39.790369216948143</c:v>
                </c:pt>
                <c:pt idx="10">
                  <c:v>42.027643883777053</c:v>
                </c:pt>
                <c:pt idx="11">
                  <c:v>42.279445517493748</c:v>
                </c:pt>
                <c:pt idx="12">
                  <c:v>41.909841339322973</c:v>
                </c:pt>
                <c:pt idx="13">
                  <c:v>41.078195309227418</c:v>
                </c:pt>
                <c:pt idx="14">
                  <c:v>40.810643013032603</c:v>
                </c:pt>
                <c:pt idx="15">
                  <c:v>39.21489782910308</c:v>
                </c:pt>
                <c:pt idx="16">
                  <c:v>41.955977066110549</c:v>
                </c:pt>
                <c:pt idx="17">
                  <c:v>42.15435968616746</c:v>
                </c:pt>
                <c:pt idx="18">
                  <c:v>45.708859869256756</c:v>
                </c:pt>
                <c:pt idx="19">
                  <c:v>44.284212242432559</c:v>
                </c:pt>
                <c:pt idx="20">
                  <c:v>44.34683657488582</c:v>
                </c:pt>
                <c:pt idx="21">
                  <c:v>45.072727569213498</c:v>
                </c:pt>
                <c:pt idx="22">
                  <c:v>46.230248469667046</c:v>
                </c:pt>
                <c:pt idx="23">
                  <c:v>48.278370329259644</c:v>
                </c:pt>
                <c:pt idx="24">
                  <c:v>50.69678449186501</c:v>
                </c:pt>
                <c:pt idx="25">
                  <c:v>51.305550108151877</c:v>
                </c:pt>
                <c:pt idx="26">
                  <c:v>50.574213975051087</c:v>
                </c:pt>
                <c:pt idx="27">
                  <c:v>50.600999261092404</c:v>
                </c:pt>
                <c:pt idx="28">
                  <c:v>54.539019212304474</c:v>
                </c:pt>
                <c:pt idx="29">
                  <c:v>57.341893337375794</c:v>
                </c:pt>
                <c:pt idx="30">
                  <c:v>51.430890047085796</c:v>
                </c:pt>
                <c:pt idx="31">
                  <c:v>53.119610642807544</c:v>
                </c:pt>
                <c:pt idx="32">
                  <c:v>51.045212018650396</c:v>
                </c:pt>
                <c:pt idx="33">
                  <c:v>50.510049860867952</c:v>
                </c:pt>
                <c:pt idx="34">
                  <c:v>50.333074812175497</c:v>
                </c:pt>
                <c:pt idx="35">
                  <c:v>55.444217319784073</c:v>
                </c:pt>
                <c:pt idx="36">
                  <c:v>56.575549087417784</c:v>
                </c:pt>
                <c:pt idx="37">
                  <c:v>59.033586675565772</c:v>
                </c:pt>
                <c:pt idx="38">
                  <c:v>59.381910869895805</c:v>
                </c:pt>
                <c:pt idx="39">
                  <c:v>55.812693943151054</c:v>
                </c:pt>
                <c:pt idx="40">
                  <c:v>58.032444171281639</c:v>
                </c:pt>
                <c:pt idx="41">
                  <c:v>59.11354465973789</c:v>
                </c:pt>
                <c:pt idx="42">
                  <c:v>59.617699244573927</c:v>
                </c:pt>
                <c:pt idx="43">
                  <c:v>60.915701911099895</c:v>
                </c:pt>
                <c:pt idx="44">
                  <c:v>58.34566337921698</c:v>
                </c:pt>
                <c:pt idx="45">
                  <c:v>59.994154751208178</c:v>
                </c:pt>
                <c:pt idx="46">
                  <c:v>60.161998947083809</c:v>
                </c:pt>
                <c:pt idx="47">
                  <c:v>59.34098338963139</c:v>
                </c:pt>
                <c:pt idx="48">
                  <c:v>57.446541002035474</c:v>
                </c:pt>
                <c:pt idx="49">
                  <c:v>57.732471012482179</c:v>
                </c:pt>
                <c:pt idx="50">
                  <c:v>54.20279751701181</c:v>
                </c:pt>
                <c:pt idx="51">
                  <c:v>56.8654732752589</c:v>
                </c:pt>
                <c:pt idx="52">
                  <c:v>52.632817791397365</c:v>
                </c:pt>
                <c:pt idx="53">
                  <c:v>50.084307214241427</c:v>
                </c:pt>
                <c:pt idx="54">
                  <c:v>49.356065369548304</c:v>
                </c:pt>
                <c:pt idx="55">
                  <c:v>51.011435714571853</c:v>
                </c:pt>
                <c:pt idx="56">
                  <c:v>48.920096642523951</c:v>
                </c:pt>
                <c:pt idx="57">
                  <c:v>46.586412517117623</c:v>
                </c:pt>
                <c:pt idx="58">
                  <c:v>45.372450415244735</c:v>
                </c:pt>
                <c:pt idx="59">
                  <c:v>48.394602586911454</c:v>
                </c:pt>
                <c:pt idx="60">
                  <c:v>45.175905079603467</c:v>
                </c:pt>
                <c:pt idx="61">
                  <c:v>47.465348734001289</c:v>
                </c:pt>
                <c:pt idx="62">
                  <c:v>51.769398780507736</c:v>
                </c:pt>
                <c:pt idx="63">
                  <c:v>51.890650664222008</c:v>
                </c:pt>
                <c:pt idx="64">
                  <c:v>49.421885510414214</c:v>
                </c:pt>
                <c:pt idx="65">
                  <c:v>53.838971035588337</c:v>
                </c:pt>
                <c:pt idx="66">
                  <c:v>54.227491860596423</c:v>
                </c:pt>
                <c:pt idx="67">
                  <c:v>56.476370329771868</c:v>
                </c:pt>
                <c:pt idx="68">
                  <c:v>59.362175003475102</c:v>
                </c:pt>
                <c:pt idx="69">
                  <c:v>58.590996512226376</c:v>
                </c:pt>
                <c:pt idx="70">
                  <c:v>61.430754538657219</c:v>
                </c:pt>
                <c:pt idx="71">
                  <c:v>66.642268843293351</c:v>
                </c:pt>
                <c:pt idx="72">
                  <c:v>69.699062803499459</c:v>
                </c:pt>
                <c:pt idx="73">
                  <c:v>74.87539132655975</c:v>
                </c:pt>
                <c:pt idx="74">
                  <c:v>78.078539389377383</c:v>
                </c:pt>
                <c:pt idx="75">
                  <c:v>88.627783301882573</c:v>
                </c:pt>
                <c:pt idx="76">
                  <c:v>81.801570300607679</c:v>
                </c:pt>
                <c:pt idx="77">
                  <c:v>80.991173477617565</c:v>
                </c:pt>
                <c:pt idx="78">
                  <c:v>80.656689277219343</c:v>
                </c:pt>
                <c:pt idx="79">
                  <c:v>82.850108957259266</c:v>
                </c:pt>
                <c:pt idx="80">
                  <c:v>74.2719831487276</c:v>
                </c:pt>
                <c:pt idx="81">
                  <c:v>79.526130815802262</c:v>
                </c:pt>
                <c:pt idx="82">
                  <c:v>74.742357075275407</c:v>
                </c:pt>
                <c:pt idx="83">
                  <c:v>69.797700759130436</c:v>
                </c:pt>
                <c:pt idx="84">
                  <c:v>67.278042720866068</c:v>
                </c:pt>
                <c:pt idx="85">
                  <c:v>63.14971519404822</c:v>
                </c:pt>
                <c:pt idx="86">
                  <c:v>68.183834072821142</c:v>
                </c:pt>
                <c:pt idx="87">
                  <c:v>69.172959723657868</c:v>
                </c:pt>
                <c:pt idx="88">
                  <c:v>71.923145924903039</c:v>
                </c:pt>
                <c:pt idx="89">
                  <c:v>77.753391751033234</c:v>
                </c:pt>
                <c:pt idx="90">
                  <c:v>84.491243369569261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6C7-4AF6-963C-403110EF930E}"/>
            </c:ext>
          </c:extLst>
        </c:ser>
        <c:ser>
          <c:idx val="8"/>
          <c:order val="8"/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trajectoires!$Q$3:$Q$93</c:f>
              <c:numCache>
                <c:formatCode>General</c:formatCode>
                <c:ptCount val="91"/>
                <c:pt idx="0">
                  <c:v>40</c:v>
                </c:pt>
                <c:pt idx="1">
                  <c:v>39.500203252791607</c:v>
                </c:pt>
                <c:pt idx="2">
                  <c:v>39.681935378222391</c:v>
                </c:pt>
                <c:pt idx="3">
                  <c:v>38.829881144579446</c:v>
                </c:pt>
                <c:pt idx="4">
                  <c:v>40.29567975483117</c:v>
                </c:pt>
                <c:pt idx="5">
                  <c:v>40.595067903482708</c:v>
                </c:pt>
                <c:pt idx="6">
                  <c:v>37.523907603484687</c:v>
                </c:pt>
                <c:pt idx="7">
                  <c:v>37.044284406733745</c:v>
                </c:pt>
                <c:pt idx="8">
                  <c:v>36.035980007388652</c:v>
                </c:pt>
                <c:pt idx="9">
                  <c:v>38.198954092366961</c:v>
                </c:pt>
                <c:pt idx="10">
                  <c:v>37.930014147905752</c:v>
                </c:pt>
                <c:pt idx="11">
                  <c:v>36.878434832666734</c:v>
                </c:pt>
                <c:pt idx="12">
                  <c:v>37.299390697049752</c:v>
                </c:pt>
                <c:pt idx="13">
                  <c:v>36.800994244560115</c:v>
                </c:pt>
                <c:pt idx="14">
                  <c:v>36.619569056487769</c:v>
                </c:pt>
                <c:pt idx="15">
                  <c:v>39.417504198681094</c:v>
                </c:pt>
                <c:pt idx="16">
                  <c:v>38.752125708474679</c:v>
                </c:pt>
                <c:pt idx="17">
                  <c:v>39.771989294275016</c:v>
                </c:pt>
                <c:pt idx="18">
                  <c:v>42.844105906528064</c:v>
                </c:pt>
                <c:pt idx="19">
                  <c:v>40.755053106114332</c:v>
                </c:pt>
                <c:pt idx="20">
                  <c:v>41.817688094395947</c:v>
                </c:pt>
                <c:pt idx="21">
                  <c:v>43.899244623237671</c:v>
                </c:pt>
                <c:pt idx="22">
                  <c:v>45.887723564791493</c:v>
                </c:pt>
                <c:pt idx="23">
                  <c:v>45.611390870111791</c:v>
                </c:pt>
                <c:pt idx="24">
                  <c:v>43.849101191320862</c:v>
                </c:pt>
                <c:pt idx="25">
                  <c:v>44.263378095942898</c:v>
                </c:pt>
                <c:pt idx="26">
                  <c:v>42.011280819090388</c:v>
                </c:pt>
                <c:pt idx="27">
                  <c:v>41.096276942076614</c:v>
                </c:pt>
                <c:pt idx="28">
                  <c:v>41.943555166209507</c:v>
                </c:pt>
                <c:pt idx="29">
                  <c:v>44.669044940695912</c:v>
                </c:pt>
                <c:pt idx="30">
                  <c:v>45.74674799015375</c:v>
                </c:pt>
                <c:pt idx="31">
                  <c:v>45.375606813356228</c:v>
                </c:pt>
                <c:pt idx="32">
                  <c:v>45.31389751003114</c:v>
                </c:pt>
                <c:pt idx="33">
                  <c:v>46.215031805240862</c:v>
                </c:pt>
                <c:pt idx="34">
                  <c:v>43.395457031544552</c:v>
                </c:pt>
                <c:pt idx="35">
                  <c:v>46.751199814529151</c:v>
                </c:pt>
                <c:pt idx="36">
                  <c:v>50.633659716647365</c:v>
                </c:pt>
                <c:pt idx="37">
                  <c:v>53.623028073346447</c:v>
                </c:pt>
                <c:pt idx="38">
                  <c:v>50.144830810312946</c:v>
                </c:pt>
                <c:pt idx="39">
                  <c:v>52.38368212583952</c:v>
                </c:pt>
                <c:pt idx="40">
                  <c:v>55.26793877212166</c:v>
                </c:pt>
                <c:pt idx="41">
                  <c:v>57.474020117334568</c:v>
                </c:pt>
                <c:pt idx="42">
                  <c:v>55.9716727271081</c:v>
                </c:pt>
                <c:pt idx="43">
                  <c:v>53.126604428756394</c:v>
                </c:pt>
                <c:pt idx="44">
                  <c:v>55.654893919406881</c:v>
                </c:pt>
                <c:pt idx="45">
                  <c:v>57.007134464865828</c:v>
                </c:pt>
                <c:pt idx="46">
                  <c:v>56.506717269036088</c:v>
                </c:pt>
                <c:pt idx="47">
                  <c:v>57.670451616938337</c:v>
                </c:pt>
                <c:pt idx="48">
                  <c:v>55.918995396248526</c:v>
                </c:pt>
                <c:pt idx="49">
                  <c:v>51.19588638097504</c:v>
                </c:pt>
                <c:pt idx="50">
                  <c:v>52.295515740223323</c:v>
                </c:pt>
                <c:pt idx="51">
                  <c:v>53.033526582002153</c:v>
                </c:pt>
                <c:pt idx="52">
                  <c:v>54.36551342916183</c:v>
                </c:pt>
                <c:pt idx="53">
                  <c:v>61.517562700173322</c:v>
                </c:pt>
                <c:pt idx="54">
                  <c:v>65.494103193138088</c:v>
                </c:pt>
                <c:pt idx="55">
                  <c:v>65.387948457936957</c:v>
                </c:pt>
                <c:pt idx="56">
                  <c:v>65.262491899612598</c:v>
                </c:pt>
                <c:pt idx="57">
                  <c:v>67.184234232721252</c:v>
                </c:pt>
                <c:pt idx="58">
                  <c:v>68.799927913546256</c:v>
                </c:pt>
                <c:pt idx="59">
                  <c:v>68.556561122979915</c:v>
                </c:pt>
                <c:pt idx="60">
                  <c:v>72.202692724403207</c:v>
                </c:pt>
                <c:pt idx="61">
                  <c:v>66.01631918759017</c:v>
                </c:pt>
                <c:pt idx="62">
                  <c:v>68.5051084749051</c:v>
                </c:pt>
                <c:pt idx="63">
                  <c:v>68.369059576498415</c:v>
                </c:pt>
                <c:pt idx="64">
                  <c:v>65.670503337013784</c:v>
                </c:pt>
                <c:pt idx="65">
                  <c:v>61.821306853027245</c:v>
                </c:pt>
                <c:pt idx="66">
                  <c:v>60.40990223314094</c:v>
                </c:pt>
                <c:pt idx="67">
                  <c:v>56.729345626081113</c:v>
                </c:pt>
                <c:pt idx="68">
                  <c:v>58.823289178277165</c:v>
                </c:pt>
                <c:pt idx="69">
                  <c:v>59.490334754258456</c:v>
                </c:pt>
                <c:pt idx="70">
                  <c:v>61.252074544064648</c:v>
                </c:pt>
                <c:pt idx="71">
                  <c:v>61.821511795242934</c:v>
                </c:pt>
                <c:pt idx="72">
                  <c:v>60.017295822257779</c:v>
                </c:pt>
                <c:pt idx="73">
                  <c:v>58.976067789905514</c:v>
                </c:pt>
                <c:pt idx="74">
                  <c:v>56.223852141117042</c:v>
                </c:pt>
                <c:pt idx="75">
                  <c:v>57.977949935808482</c:v>
                </c:pt>
                <c:pt idx="76">
                  <c:v>56.858765635742422</c:v>
                </c:pt>
                <c:pt idx="77">
                  <c:v>52.414197887206996</c:v>
                </c:pt>
                <c:pt idx="78">
                  <c:v>53.509502046251789</c:v>
                </c:pt>
                <c:pt idx="79">
                  <c:v>52.575238054402888</c:v>
                </c:pt>
                <c:pt idx="80">
                  <c:v>54.889678870471663</c:v>
                </c:pt>
                <c:pt idx="81">
                  <c:v>55.064375463098379</c:v>
                </c:pt>
                <c:pt idx="82">
                  <c:v>55.193804957613139</c:v>
                </c:pt>
                <c:pt idx="83">
                  <c:v>56.804161660528933</c:v>
                </c:pt>
                <c:pt idx="84">
                  <c:v>58.66655035333752</c:v>
                </c:pt>
                <c:pt idx="85">
                  <c:v>58.305428274056162</c:v>
                </c:pt>
                <c:pt idx="86">
                  <c:v>61.281868513575979</c:v>
                </c:pt>
                <c:pt idx="87">
                  <c:v>65.580087824421213</c:v>
                </c:pt>
                <c:pt idx="88">
                  <c:v>65.732896267067744</c:v>
                </c:pt>
                <c:pt idx="89">
                  <c:v>66.654941931601442</c:v>
                </c:pt>
                <c:pt idx="90">
                  <c:v>65.295669006845131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6C7-4AF6-963C-403110EF930E}"/>
            </c:ext>
          </c:extLst>
        </c:ser>
        <c:ser>
          <c:idx val="9"/>
          <c:order val="9"/>
          <c:spPr>
            <a:ln w="19050" cap="rnd" cmpd="sng" algn="ctr">
              <a:solidFill>
                <a:schemeClr val="accent1">
                  <a:lumMod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trajectoires!$R$3:$R$93</c:f>
              <c:numCache>
                <c:formatCode>General</c:formatCode>
                <c:ptCount val="91"/>
                <c:pt idx="0">
                  <c:v>40</c:v>
                </c:pt>
                <c:pt idx="1">
                  <c:v>40.356382933221738</c:v>
                </c:pt>
                <c:pt idx="2">
                  <c:v>36.892494437560551</c:v>
                </c:pt>
                <c:pt idx="3">
                  <c:v>38.921243245834098</c:v>
                </c:pt>
                <c:pt idx="4">
                  <c:v>40.745192160218267</c:v>
                </c:pt>
                <c:pt idx="5">
                  <c:v>40.370892845097096</c:v>
                </c:pt>
                <c:pt idx="6">
                  <c:v>39.299561687683287</c:v>
                </c:pt>
                <c:pt idx="7">
                  <c:v>41.031911198516006</c:v>
                </c:pt>
                <c:pt idx="8">
                  <c:v>40.757506328147109</c:v>
                </c:pt>
                <c:pt idx="9">
                  <c:v>38.956399378641933</c:v>
                </c:pt>
                <c:pt idx="10">
                  <c:v>38.767861347396163</c:v>
                </c:pt>
                <c:pt idx="11">
                  <c:v>39.284293590954462</c:v>
                </c:pt>
                <c:pt idx="12">
                  <c:v>37.519445723402548</c:v>
                </c:pt>
                <c:pt idx="13">
                  <c:v>36.878486022314576</c:v>
                </c:pt>
                <c:pt idx="14">
                  <c:v>36.748561998139067</c:v>
                </c:pt>
                <c:pt idx="15">
                  <c:v>34.840060001940529</c:v>
                </c:pt>
                <c:pt idx="16">
                  <c:v>32.649999843061856</c:v>
                </c:pt>
                <c:pt idx="17">
                  <c:v>33.294665930557358</c:v>
                </c:pt>
                <c:pt idx="18">
                  <c:v>33.900355606296138</c:v>
                </c:pt>
                <c:pt idx="19">
                  <c:v>33.961572986908322</c:v>
                </c:pt>
                <c:pt idx="20">
                  <c:v>34.649587681892733</c:v>
                </c:pt>
                <c:pt idx="21">
                  <c:v>32.240783646412744</c:v>
                </c:pt>
                <c:pt idx="22">
                  <c:v>32.676919646785926</c:v>
                </c:pt>
                <c:pt idx="23">
                  <c:v>32.194272417657437</c:v>
                </c:pt>
                <c:pt idx="24">
                  <c:v>30.806793894452866</c:v>
                </c:pt>
                <c:pt idx="25">
                  <c:v>32.009964544921424</c:v>
                </c:pt>
                <c:pt idx="26">
                  <c:v>31.482248224666087</c:v>
                </c:pt>
                <c:pt idx="27">
                  <c:v>33.219720109835585</c:v>
                </c:pt>
                <c:pt idx="28">
                  <c:v>31.393321691227204</c:v>
                </c:pt>
                <c:pt idx="29">
                  <c:v>31.982199552436583</c:v>
                </c:pt>
                <c:pt idx="30">
                  <c:v>31.444095897229737</c:v>
                </c:pt>
                <c:pt idx="31">
                  <c:v>33.144930709537867</c:v>
                </c:pt>
                <c:pt idx="32">
                  <c:v>35.020040451936829</c:v>
                </c:pt>
                <c:pt idx="33">
                  <c:v>35.426032251336757</c:v>
                </c:pt>
                <c:pt idx="34">
                  <c:v>36.767681222350063</c:v>
                </c:pt>
                <c:pt idx="35">
                  <c:v>34.867553711232198</c:v>
                </c:pt>
                <c:pt idx="36">
                  <c:v>35.451524480141394</c:v>
                </c:pt>
                <c:pt idx="37">
                  <c:v>34.335788734417967</c:v>
                </c:pt>
                <c:pt idx="38">
                  <c:v>33.412432404120402</c:v>
                </c:pt>
                <c:pt idx="39">
                  <c:v>34.943933046878719</c:v>
                </c:pt>
                <c:pt idx="40">
                  <c:v>35.280448202218778</c:v>
                </c:pt>
                <c:pt idx="41">
                  <c:v>36.169396653108436</c:v>
                </c:pt>
                <c:pt idx="42">
                  <c:v>35.626227503304278</c:v>
                </c:pt>
                <c:pt idx="43">
                  <c:v>36.099871399834775</c:v>
                </c:pt>
                <c:pt idx="44">
                  <c:v>34.962481373494427</c:v>
                </c:pt>
                <c:pt idx="45">
                  <c:v>33.833457663823566</c:v>
                </c:pt>
                <c:pt idx="46">
                  <c:v>32.501286276878041</c:v>
                </c:pt>
                <c:pt idx="47">
                  <c:v>32.325378399470239</c:v>
                </c:pt>
                <c:pt idx="48">
                  <c:v>33.769413842042496</c:v>
                </c:pt>
                <c:pt idx="49">
                  <c:v>32.53693951398342</c:v>
                </c:pt>
                <c:pt idx="50">
                  <c:v>34.97766735183329</c:v>
                </c:pt>
                <c:pt idx="51">
                  <c:v>35.826171012722476</c:v>
                </c:pt>
                <c:pt idx="52">
                  <c:v>34.823129556890549</c:v>
                </c:pt>
                <c:pt idx="53">
                  <c:v>33.97131789458868</c:v>
                </c:pt>
                <c:pt idx="54">
                  <c:v>31.531862163355619</c:v>
                </c:pt>
                <c:pt idx="55">
                  <c:v>32.174322578969345</c:v>
                </c:pt>
                <c:pt idx="56">
                  <c:v>33.385109941596816</c:v>
                </c:pt>
                <c:pt idx="57">
                  <c:v>32.448857407367768</c:v>
                </c:pt>
                <c:pt idx="58">
                  <c:v>33.389982338032596</c:v>
                </c:pt>
                <c:pt idx="59">
                  <c:v>32.186268682710107</c:v>
                </c:pt>
                <c:pt idx="60">
                  <c:v>33.645972902181398</c:v>
                </c:pt>
                <c:pt idx="61">
                  <c:v>33.124415392510059</c:v>
                </c:pt>
                <c:pt idx="62">
                  <c:v>32.801143006632465</c:v>
                </c:pt>
                <c:pt idx="63">
                  <c:v>32.906188730599666</c:v>
                </c:pt>
                <c:pt idx="64">
                  <c:v>33.693464037852216</c:v>
                </c:pt>
                <c:pt idx="65">
                  <c:v>35.109240568026898</c:v>
                </c:pt>
                <c:pt idx="66">
                  <c:v>36.713094499080889</c:v>
                </c:pt>
                <c:pt idx="67">
                  <c:v>36.198953674031678</c:v>
                </c:pt>
                <c:pt idx="68">
                  <c:v>38.385203177932212</c:v>
                </c:pt>
                <c:pt idx="69">
                  <c:v>35.669001079379534</c:v>
                </c:pt>
                <c:pt idx="70">
                  <c:v>36.130320677772374</c:v>
                </c:pt>
                <c:pt idx="71">
                  <c:v>36.364397419058882</c:v>
                </c:pt>
                <c:pt idx="72">
                  <c:v>39.027582817979173</c:v>
                </c:pt>
                <c:pt idx="73">
                  <c:v>42.082437914535241</c:v>
                </c:pt>
                <c:pt idx="74">
                  <c:v>43.596090898365226</c:v>
                </c:pt>
                <c:pt idx="75">
                  <c:v>43.703040384799962</c:v>
                </c:pt>
                <c:pt idx="76">
                  <c:v>44.69866780023127</c:v>
                </c:pt>
                <c:pt idx="77">
                  <c:v>45.871265636900624</c:v>
                </c:pt>
                <c:pt idx="78">
                  <c:v>46.596447954727246</c:v>
                </c:pt>
                <c:pt idx="79">
                  <c:v>44.170097059140424</c:v>
                </c:pt>
                <c:pt idx="80">
                  <c:v>47.876280428158857</c:v>
                </c:pt>
                <c:pt idx="81">
                  <c:v>48.416351152852059</c:v>
                </c:pt>
                <c:pt idx="82">
                  <c:v>48.544627295158811</c:v>
                </c:pt>
                <c:pt idx="83">
                  <c:v>46.79023489669396</c:v>
                </c:pt>
                <c:pt idx="84">
                  <c:v>45.530017816190231</c:v>
                </c:pt>
                <c:pt idx="85">
                  <c:v>44.057898986503929</c:v>
                </c:pt>
                <c:pt idx="86">
                  <c:v>41.765630183823021</c:v>
                </c:pt>
                <c:pt idx="87">
                  <c:v>41.334342284234495</c:v>
                </c:pt>
                <c:pt idx="88">
                  <c:v>38.969664818482705</c:v>
                </c:pt>
                <c:pt idx="89">
                  <c:v>40.594527186831598</c:v>
                </c:pt>
                <c:pt idx="90">
                  <c:v>39.074833896821211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6C7-4AF6-963C-403110EF9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2256992"/>
        <c:axId val="692281536"/>
      </c:lineChart>
      <c:catAx>
        <c:axId val="69225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2281536"/>
        <c:crosses val="autoZero"/>
        <c:auto val="1"/>
        <c:lblAlgn val="ctr"/>
        <c:lblOffset val="100"/>
        <c:noMultiLvlLbl val="0"/>
      </c:catAx>
      <c:valAx>
        <c:axId val="692281536"/>
        <c:scaling>
          <c:orientation val="minMax"/>
          <c:min val="29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22569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IC!$C$2</c:f>
              <c:strCache>
                <c:ptCount val="1"/>
                <c:pt idx="0">
                  <c:v>est.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cat>
          <c:val>
            <c:numRef>
              <c:f>IC!$C$3:$C$7</c:f>
              <c:numCache>
                <c:formatCode>General</c:formatCode>
                <c:ptCount val="5"/>
                <c:pt idx="0">
                  <c:v>5.0109734703821838</c:v>
                </c:pt>
                <c:pt idx="1">
                  <c:v>4.9535104317412069</c:v>
                </c:pt>
                <c:pt idx="2">
                  <c:v>5.0755735018700534</c:v>
                </c:pt>
                <c:pt idx="3">
                  <c:v>5.1212929370562676</c:v>
                </c:pt>
                <c:pt idx="4">
                  <c:v>4.6642496827461875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52-4251-8357-F268795F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350528"/>
        <c:axId val="511352192"/>
      </c:barChart>
      <c:scatterChart>
        <c:scatterStyle val="lineMarker"/>
        <c:varyColors val="0"/>
        <c:ser>
          <c:idx val="0"/>
          <c:order val="0"/>
          <c:tx>
            <c:strRef>
              <c:f>IC!$B$2</c:f>
              <c:strCache>
                <c:ptCount val="1"/>
                <c:pt idx="0">
                  <c:v>IC_bas 5%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6350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xVal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xVal>
          <c:yVal>
            <c:numRef>
              <c:f>IC!$B$3:$B$7</c:f>
              <c:numCache>
                <c:formatCode>General</c:formatCode>
                <c:ptCount val="5"/>
                <c:pt idx="0">
                  <c:v>4.5507037638973431</c:v>
                </c:pt>
                <c:pt idx="1">
                  <c:v>4.7408387520874973</c:v>
                </c:pt>
                <c:pt idx="2">
                  <c:v>4.7566546967000614</c:v>
                </c:pt>
                <c:pt idx="3">
                  <c:v>4.7598193958997399</c:v>
                </c:pt>
                <c:pt idx="4">
                  <c:v>4.3809400382845993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52-4251-8357-F268795F0F59}"/>
            </c:ext>
          </c:extLst>
        </c:ser>
        <c:ser>
          <c:idx val="2"/>
          <c:order val="2"/>
          <c:tx>
            <c:strRef>
              <c:f>IC!$D$2</c:f>
              <c:strCache>
                <c:ptCount val="1"/>
                <c:pt idx="0">
                  <c:v>IC_haut 5%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xVal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xVal>
          <c:yVal>
            <c:numRef>
              <c:f>IC!$D$3:$D$7</c:f>
              <c:numCache>
                <c:formatCode>General</c:formatCode>
                <c:ptCount val="5"/>
                <c:pt idx="0">
                  <c:v>5.4712431768670244</c:v>
                </c:pt>
                <c:pt idx="1">
                  <c:v>5.1661821113949165</c:v>
                </c:pt>
                <c:pt idx="2">
                  <c:v>5.3944923070400455</c:v>
                </c:pt>
                <c:pt idx="3">
                  <c:v>5.4827664782127954</c:v>
                </c:pt>
                <c:pt idx="4">
                  <c:v>4.9475593272077756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52-4251-8357-F268795F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50528"/>
        <c:axId val="511352192"/>
      </c:scatterChart>
      <c:catAx>
        <c:axId val="511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52192"/>
        <c:crosses val="autoZero"/>
        <c:auto val="1"/>
        <c:lblAlgn val="ctr"/>
        <c:lblOffset val="100"/>
        <c:noMultiLvlLbl val="0"/>
      </c:catAx>
      <c:valAx>
        <c:axId val="511352192"/>
        <c:scaling>
          <c:orientation val="minMax"/>
          <c:min val="4.099999999999999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5052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6" fmlaLink="trajectoires!F2" max="80" page="2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3</xdr:row>
          <xdr:rowOff>7620</xdr:rowOff>
        </xdr:from>
        <xdr:to>
          <xdr:col>17</xdr:col>
          <xdr:colOff>182880</xdr:colOff>
          <xdr:row>13</xdr:row>
          <xdr:rowOff>167640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121103</xdr:colOff>
      <xdr:row>15</xdr:row>
      <xdr:rowOff>257019</xdr:rowOff>
    </xdr:from>
    <xdr:to>
      <xdr:col>7</xdr:col>
      <xdr:colOff>549727</xdr:colOff>
      <xdr:row>23</xdr:row>
      <xdr:rowOff>119743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81074" y="3239705"/>
          <a:ext cx="3487510" cy="1484695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1100" b="1">
              <a:solidFill>
                <a:sysClr val="windowText" lastClr="000000"/>
              </a:solidFill>
            </a:rPr>
            <a:t>Les estimateurs se calculent ainsi:</a:t>
          </a:r>
        </a:p>
        <a:p>
          <a:pPr algn="l"/>
          <a:r>
            <a:rPr lang="de-DE" sz="1100" b="1">
              <a:solidFill>
                <a:sysClr val="windowText" lastClr="000000"/>
              </a:solidFill>
            </a:rPr>
            <a:t>C_inf</a:t>
          </a:r>
          <a:r>
            <a:rPr lang="de-DE" sz="1100">
              <a:solidFill>
                <a:sysClr val="windowText" lastClr="000000"/>
              </a:solidFill>
            </a:rPr>
            <a:t>: Le prix d'une option asiatique d'achat. La moyenne de l'aire</a:t>
          </a:r>
          <a:r>
            <a:rPr lang="de-DE" sz="1100" baseline="0">
              <a:solidFill>
                <a:sysClr val="windowText" lastClr="000000"/>
              </a:solidFill>
            </a:rPr>
            <a:t> sous les courbes de prix, moins  K, puis actualisée. 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C_5nt</a:t>
          </a:r>
          <a:r>
            <a:rPr lang="de-DE" sz="1100" baseline="0">
              <a:solidFill>
                <a:sysClr val="windowText" lastClr="000000"/>
              </a:solidFill>
            </a:rPr>
            <a:t>: Avec cinq fois plus de courbes simulées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C_anti</a:t>
          </a:r>
          <a:r>
            <a:rPr lang="de-DE" sz="1100" baseline="0">
              <a:solidFill>
                <a:sysClr val="windowText" lastClr="000000"/>
              </a:solidFill>
            </a:rPr>
            <a:t>: Avec une variable antithétique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C_N</a:t>
          </a:r>
          <a:r>
            <a:rPr lang="de-DE" sz="1100" baseline="0">
              <a:solidFill>
                <a:sysClr val="windowText" lastClr="000000"/>
              </a:solidFill>
            </a:rPr>
            <a:t>:  Au lieu de l'aire on prend la moyenne de Nd valeurs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VC_1</a:t>
          </a:r>
          <a:r>
            <a:rPr lang="de-DE" sz="1100" baseline="0">
              <a:solidFill>
                <a:sysClr val="windowText" lastClr="000000"/>
              </a:solidFill>
            </a:rPr>
            <a:t>: Variable de contrôle, un mouvement brownien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VC_2</a:t>
          </a:r>
          <a:r>
            <a:rPr lang="de-DE" sz="1100" baseline="0">
              <a:solidFill>
                <a:sysClr val="windowText" lastClr="000000"/>
              </a:solidFill>
            </a:rPr>
            <a:t>: V. d. C.,  un mouv. brown. à W_T 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12440</xdr:colOff>
      <xdr:row>20</xdr:row>
      <xdr:rowOff>7620</xdr:rowOff>
    </xdr:from>
    <xdr:to>
      <xdr:col>1</xdr:col>
      <xdr:colOff>518899</xdr:colOff>
      <xdr:row>23</xdr:row>
      <xdr:rowOff>172380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25" b="20783"/>
        <a:stretch/>
      </xdr:blipFill>
      <xdr:spPr bwMode="auto">
        <a:xfrm>
          <a:off x="263900" y="4023360"/>
          <a:ext cx="506459" cy="7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266700</xdr:colOff>
      <xdr:row>4</xdr:row>
      <xdr:rowOff>83820</xdr:rowOff>
    </xdr:from>
    <xdr:to>
      <xdr:col>5</xdr:col>
      <xdr:colOff>379500</xdr:colOff>
      <xdr:row>11</xdr:row>
      <xdr:rowOff>135660</xdr:rowOff>
    </xdr:to>
    <xdr:sp macro="[0]!Macro1" textlink="">
      <xdr:nvSpPr>
        <xdr:cNvPr id="9" name="Flowchart: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10740" y="982980"/>
          <a:ext cx="1332000" cy="1332000"/>
        </a:xfrm>
        <a:prstGeom prst="flowChartConnector">
          <a:avLst/>
        </a:prstGeom>
        <a:solidFill>
          <a:schemeClr val="accent1"/>
        </a:solidFill>
        <a:ln w="12700" cap="flat" cmpd="sng" algn="ctr">
          <a:noFill/>
          <a:prstDash val="solid"/>
          <a:miter lim="800000"/>
        </a:ln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de-DE" sz="1100" i="1"/>
            <a:t>cliquer pour</a:t>
          </a:r>
        </a:p>
        <a:p>
          <a:pPr algn="ctr"/>
          <a:r>
            <a:rPr lang="de-DE" sz="1100" i="1"/>
            <a:t>demarrer</a:t>
          </a:r>
          <a:r>
            <a:rPr lang="de-DE" sz="1100" i="1" baseline="0"/>
            <a:t> </a:t>
          </a:r>
          <a:r>
            <a:rPr lang="de-DE" sz="1100" i="1"/>
            <a:t>la</a:t>
          </a:r>
          <a:r>
            <a:rPr lang="de-DE" sz="1100" i="1" baseline="0"/>
            <a:t> simulation</a:t>
          </a:r>
          <a:endParaRPr lang="de-DE" sz="1100" i="1"/>
        </a:p>
      </xdr:txBody>
    </xdr:sp>
    <xdr:clientData/>
  </xdr:twoCellAnchor>
  <xdr:twoCellAnchor>
    <xdr:from>
      <xdr:col>1</xdr:col>
      <xdr:colOff>29454</xdr:colOff>
      <xdr:row>16</xdr:row>
      <xdr:rowOff>5144</xdr:rowOff>
    </xdr:from>
    <xdr:to>
      <xdr:col>2</xdr:col>
      <xdr:colOff>13253</xdr:colOff>
      <xdr:row>19</xdr:row>
      <xdr:rowOff>159025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1245" y="3318187"/>
          <a:ext cx="593399" cy="710473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B. Deutsch</a:t>
          </a:r>
        </a:p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V. De 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Crespin De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Billy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M. Lang</a:t>
          </a:r>
          <a:endParaRPr lang="de-DE" sz="900" b="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12</xdr:col>
      <xdr:colOff>25400</xdr:colOff>
      <xdr:row>14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D543E1-0C1A-464E-9EEC-B59A1EF2D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13</xdr:col>
      <xdr:colOff>289560</xdr:colOff>
      <xdr:row>23</xdr:row>
      <xdr:rowOff>180340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20B0113-030D-457B-B647-0AAE8924D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92DB-EF92-4E5A-9BC9-ACD638096CD5}">
  <sheetPr codeName="Sheet3"/>
  <dimension ref="A1:XFD25"/>
  <sheetViews>
    <sheetView showGridLines="0" tabSelected="1" zoomScaleNormal="100" workbookViewId="0">
      <selection activeCell="C5" sqref="C5"/>
    </sheetView>
  </sheetViews>
  <sheetFormatPr defaultColWidth="0" defaultRowHeight="14.4" zeroHeight="1" x14ac:dyDescent="0.3"/>
  <cols>
    <col min="1" max="1" width="8.77734375" style="2" customWidth="1"/>
    <col min="2" max="2" width="8.88671875" style="2" customWidth="1"/>
    <col min="3" max="3" width="9.109375" style="2" customWidth="1"/>
    <col min="4" max="12" width="8.88671875" style="2" customWidth="1"/>
    <col min="13" max="13" width="4.6640625" style="2" customWidth="1"/>
    <col min="14" max="16" width="10.77734375" style="2" customWidth="1"/>
    <col min="17" max="17" width="11.33203125" style="2" customWidth="1"/>
    <col min="18" max="18" width="2.88671875" style="2" customWidth="1"/>
    <col min="19" max="19" width="8.77734375" style="2" customWidth="1"/>
    <col min="20" max="16383" width="8.88671875" style="2" hidden="1"/>
    <col min="16384" max="16384" width="0.88671875" style="2" customWidth="1"/>
  </cols>
  <sheetData>
    <row r="1" spans="2:19" ht="24" customHeight="1" x14ac:dyDescent="0.3"/>
    <row r="2" spans="2:19" ht="25.8" x14ac:dyDescent="0.5">
      <c r="B2" s="27" t="s">
        <v>0</v>
      </c>
      <c r="C2" s="27"/>
      <c r="D2" s="27"/>
      <c r="E2" s="27"/>
      <c r="F2" s="27"/>
      <c r="G2" s="27" t="s">
        <v>24</v>
      </c>
      <c r="H2" s="27"/>
      <c r="I2" s="27"/>
      <c r="J2" s="27"/>
      <c r="K2" s="27"/>
      <c r="L2" s="27"/>
      <c r="M2" s="27" t="s">
        <v>25</v>
      </c>
      <c r="N2" s="27"/>
      <c r="O2" s="27"/>
      <c r="P2" s="27"/>
      <c r="Q2" s="27"/>
      <c r="R2" s="13"/>
    </row>
    <row r="3" spans="2:19" ht="16.2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25" t="s">
        <v>8</v>
      </c>
      <c r="N3" s="5" t="s">
        <v>10</v>
      </c>
      <c r="O3" s="5" t="s">
        <v>28</v>
      </c>
      <c r="P3" s="5" t="s">
        <v>16</v>
      </c>
      <c r="Q3" s="5" t="s">
        <v>17</v>
      </c>
      <c r="R3" s="4"/>
    </row>
    <row r="4" spans="2:19" x14ac:dyDescent="0.3">
      <c r="B4" s="4"/>
      <c r="C4" s="19" t="s">
        <v>29</v>
      </c>
      <c r="D4" s="4"/>
      <c r="E4" s="4"/>
      <c r="F4" s="4"/>
      <c r="G4" s="4"/>
      <c r="H4" s="4"/>
      <c r="I4" s="4"/>
      <c r="J4" s="4"/>
      <c r="K4" s="4"/>
      <c r="L4" s="4"/>
      <c r="M4" s="26">
        <f ca="1">OFFSET(trajectoires!A3, trajectoires!$F$2,0)</f>
        <v>0</v>
      </c>
      <c r="N4" s="26">
        <f ca="1">OFFSET(trajectoires!B3, trajectoires!$F$2,0)</f>
        <v>40</v>
      </c>
      <c r="O4" s="26">
        <f ca="1">OFFSET(trajectoires!C3, trajectoires!$F$2,0)</f>
        <v>40</v>
      </c>
      <c r="P4" s="26">
        <f ca="1">OFFSET(trajectoires!D3, trajectoires!$F$2,0)</f>
        <v>40</v>
      </c>
      <c r="Q4" s="26">
        <f ca="1">OFFSET(trajectoires!E3, trajectoires!$F$2,0)</f>
        <v>40</v>
      </c>
      <c r="R4" s="4"/>
    </row>
    <row r="5" spans="2:19" x14ac:dyDescent="0.3">
      <c r="B5" s="6" t="s">
        <v>6</v>
      </c>
      <c r="C5" s="14">
        <v>40</v>
      </c>
      <c r="D5" s="4"/>
      <c r="E5" s="4"/>
      <c r="F5" s="4"/>
      <c r="G5" s="4"/>
      <c r="H5" s="4"/>
      <c r="I5" s="4"/>
      <c r="J5" s="4"/>
      <c r="K5" s="4"/>
      <c r="L5" s="4"/>
      <c r="M5" s="26">
        <f ca="1">OFFSET(trajectoires!A4, trajectoires!$F$2,0)</f>
        <v>0.1</v>
      </c>
      <c r="N5" s="26">
        <f ca="1">OFFSET(trajectoires!B4, trajectoires!$F$2,0)</f>
        <v>43.943441878869351</v>
      </c>
      <c r="O5" s="26">
        <f ca="1">OFFSET(trajectoires!C4, trajectoires!$F$2,0)</f>
        <v>36.456558121130655</v>
      </c>
      <c r="P5" s="26">
        <f ca="1">OFFSET(trajectoires!D4, trajectoires!$F$2,0)</f>
        <v>40.739862664105452</v>
      </c>
      <c r="Q5" s="26">
        <f ca="1">OFFSET(trajectoires!E4, trajectoires!$F$2,0)</f>
        <v>40.739862664105452</v>
      </c>
      <c r="R5" s="4"/>
      <c r="S5" s="3"/>
    </row>
    <row r="6" spans="2:19" x14ac:dyDescent="0.3">
      <c r="B6" s="6" t="s">
        <v>9</v>
      </c>
      <c r="C6" s="15">
        <v>0</v>
      </c>
      <c r="D6" s="4"/>
      <c r="E6" s="4"/>
      <c r="F6" s="4"/>
      <c r="G6" s="4"/>
      <c r="H6" s="4"/>
      <c r="I6" s="4"/>
      <c r="J6" s="4"/>
      <c r="K6" s="4"/>
      <c r="L6" s="4"/>
      <c r="M6" s="26">
        <f ca="1">OFFSET(trajectoires!A5, trajectoires!$F$2,0)</f>
        <v>0.2</v>
      </c>
      <c r="N6" s="26">
        <f ca="1">OFFSET(trajectoires!B5, trajectoires!$F$2,0)</f>
        <v>41.592991678176219</v>
      </c>
      <c r="O6" s="26">
        <f ca="1">OFFSET(trajectoires!C5, trajectoires!$F$2,0)</f>
        <v>38.580995538235818</v>
      </c>
      <c r="P6" s="26">
        <f ca="1">OFFSET(trajectoires!D5, trajectoires!$F$2,0)</f>
        <v>40.298708572506818</v>
      </c>
      <c r="Q6" s="26">
        <f ca="1">OFFSET(trajectoires!E5, trajectoires!$F$2,0)</f>
        <v>40.298708572506818</v>
      </c>
      <c r="R6" s="4"/>
      <c r="S6" s="3"/>
    </row>
    <row r="7" spans="2:19" x14ac:dyDescent="0.3">
      <c r="B7" s="6" t="s">
        <v>1</v>
      </c>
      <c r="C7" s="15">
        <v>0.05</v>
      </c>
      <c r="D7" s="4"/>
      <c r="E7" s="4"/>
      <c r="F7" s="4"/>
      <c r="G7" s="4"/>
      <c r="H7" s="4"/>
      <c r="I7" s="4"/>
      <c r="J7" s="4"/>
      <c r="K7" s="4"/>
      <c r="L7" s="4"/>
      <c r="M7" s="26">
        <f ca="1">OFFSET(trajectoires!A6, trajectoires!$F$2,0)</f>
        <v>0.30000000000000004</v>
      </c>
      <c r="N7" s="26">
        <f ca="1">OFFSET(trajectoires!B6, trajectoires!$F$2,0)</f>
        <v>41.132734835812919</v>
      </c>
      <c r="O7" s="26">
        <f ca="1">OFFSET(trajectoires!C6, trajectoires!$F$2,0)</f>
        <v>39.370867821448826</v>
      </c>
      <c r="P7" s="26">
        <f ca="1">OFFSET(trajectoires!D6, trajectoires!$F$2,0)</f>
        <v>40.174153790504398</v>
      </c>
      <c r="Q7" s="26">
        <f ca="1">OFFSET(trajectoires!E6, trajectoires!$F$2,0)</f>
        <v>40.174153790504398</v>
      </c>
      <c r="R7" s="4"/>
      <c r="S7" s="3"/>
    </row>
    <row r="8" spans="2:19" x14ac:dyDescent="0.3">
      <c r="B8" s="6" t="s">
        <v>2</v>
      </c>
      <c r="C8" s="16">
        <v>0.02</v>
      </c>
      <c r="D8" s="4"/>
      <c r="E8" s="4"/>
      <c r="F8" s="4"/>
      <c r="G8" s="4"/>
      <c r="H8" s="4"/>
      <c r="I8" s="4"/>
      <c r="J8" s="4"/>
      <c r="K8" s="4"/>
      <c r="L8" s="4"/>
      <c r="M8" s="26">
        <f ca="1">OFFSET(trajectoires!A7, trajectoires!$F$2,0)</f>
        <v>0.4</v>
      </c>
      <c r="N8" s="26">
        <f ca="1">OFFSET(trajectoires!B7, trajectoires!$F$2,0)</f>
        <v>42.317121350385733</v>
      </c>
      <c r="O8" s="26">
        <f ca="1">OFFSET(trajectoires!C7, trajectoires!$F$2,0)</f>
        <v>38.651204524431236</v>
      </c>
      <c r="P8" s="26">
        <f ca="1">OFFSET(trajectoires!D7, trajectoires!$F$2,0)</f>
        <v>40.35965568488654</v>
      </c>
      <c r="Q8" s="26">
        <f ca="1">OFFSET(trajectoires!E7, trajectoires!$F$2,0)</f>
        <v>40.35965568488654</v>
      </c>
      <c r="R8" s="4"/>
    </row>
    <row r="9" spans="2:19" x14ac:dyDescent="0.3">
      <c r="B9" s="6"/>
      <c r="C9" s="6"/>
      <c r="D9" s="4"/>
      <c r="E9" s="4"/>
      <c r="F9" s="4"/>
      <c r="G9" s="4"/>
      <c r="H9" s="4"/>
      <c r="I9" s="4"/>
      <c r="J9" s="4"/>
      <c r="K9" s="4"/>
      <c r="L9" s="4"/>
      <c r="M9" s="26">
        <f ca="1">OFFSET(trajectoires!A8, trajectoires!$F$2,0)</f>
        <v>0.5</v>
      </c>
      <c r="N9" s="26">
        <f ca="1">OFFSET(trajectoires!B8, trajectoires!$F$2,0)</f>
        <v>43.008058942519632</v>
      </c>
      <c r="O9" s="26">
        <f ca="1">OFFSET(trajectoires!C8, trajectoires!$F$2,0)</f>
        <v>38.426028533427925</v>
      </c>
      <c r="P9" s="26">
        <f ca="1">OFFSET(trajectoires!D8, trajectoires!$F$2,0)</f>
        <v>40.446722039133014</v>
      </c>
      <c r="Q9" s="26">
        <f ca="1">OFFSET(trajectoires!E8, trajectoires!$F$2,0)</f>
        <v>40.446722039133014</v>
      </c>
      <c r="R9" s="4"/>
    </row>
    <row r="10" spans="2:19" x14ac:dyDescent="0.3">
      <c r="B10" s="6" t="s">
        <v>4</v>
      </c>
      <c r="C10" s="18">
        <v>90</v>
      </c>
      <c r="D10" s="4"/>
      <c r="E10" s="4"/>
      <c r="F10" s="4"/>
      <c r="G10" s="4"/>
      <c r="H10" s="4"/>
      <c r="I10" s="4"/>
      <c r="J10" s="4"/>
      <c r="K10" s="4"/>
      <c r="L10" s="4"/>
      <c r="M10" s="26">
        <f ca="1">OFFSET(trajectoires!A9, trajectoires!$F$2,0)</f>
        <v>0.6</v>
      </c>
      <c r="N10" s="26">
        <f ca="1">OFFSET(trajectoires!B9, trajectoires!$F$2,0)</f>
        <v>44.063833302290689</v>
      </c>
      <c r="O10" s="26">
        <f ca="1">OFFSET(trajectoires!C9, trajectoires!$F$2,0)</f>
        <v>37.908136141328185</v>
      </c>
      <c r="P10" s="26">
        <f ca="1">OFFSET(trajectoires!D9, trajectoires!$F$2,0)</f>
        <v>40.595762397310551</v>
      </c>
      <c r="Q10" s="26">
        <f ca="1">OFFSET(trajectoires!E9, trajectoires!$F$2,0)</f>
        <v>40.595762397310551</v>
      </c>
      <c r="R10" s="4"/>
    </row>
    <row r="11" spans="2:19" x14ac:dyDescent="0.3">
      <c r="B11" s="6" t="s">
        <v>3</v>
      </c>
      <c r="C11" s="18">
        <v>9</v>
      </c>
      <c r="D11" s="4"/>
      <c r="E11" s="4"/>
      <c r="F11" s="4"/>
      <c r="G11" s="4"/>
      <c r="H11" s="4"/>
      <c r="I11" s="4"/>
      <c r="J11" s="4"/>
      <c r="K11" s="4"/>
      <c r="L11" s="4"/>
      <c r="M11" s="26">
        <f ca="1">OFFSET(trajectoires!A10, trajectoires!$F$2,0)</f>
        <v>0.7</v>
      </c>
      <c r="N11" s="26">
        <f ca="1">OFFSET(trajectoires!B10, trajectoires!$F$2,0)</f>
        <v>44.577687655674453</v>
      </c>
      <c r="O11" s="26">
        <f ca="1">OFFSET(trajectoires!C10, trajectoires!$F$2,0)</f>
        <v>37.863450659659463</v>
      </c>
      <c r="P11" s="26">
        <f ca="1">OFFSET(trajectoires!D10, trajectoires!$F$2,0)</f>
        <v>40.645939636207672</v>
      </c>
      <c r="Q11" s="26">
        <f ca="1">OFFSET(trajectoires!E10, trajectoires!$F$2,0)</f>
        <v>40.645939636207672</v>
      </c>
      <c r="R11" s="4"/>
    </row>
    <row r="12" spans="2:19" x14ac:dyDescent="0.3">
      <c r="B12" s="6"/>
      <c r="C12" s="4"/>
      <c r="D12" s="4"/>
      <c r="E12" s="4"/>
      <c r="F12" s="4"/>
      <c r="G12" s="4"/>
      <c r="H12" s="4"/>
      <c r="I12" s="4"/>
      <c r="J12" s="4"/>
      <c r="K12" s="4"/>
      <c r="L12" s="4"/>
      <c r="M12" s="26">
        <f ca="1">OFFSET(trajectoires!A11, trajectoires!$F$2,0)</f>
        <v>0.79999999999999993</v>
      </c>
      <c r="N12" s="26">
        <f ca="1">OFFSET(trajectoires!B11, trajectoires!$F$2,0)</f>
        <v>44.74425833247146</v>
      </c>
      <c r="O12" s="26">
        <f ca="1">OFFSET(trajectoires!C11, trajectoires!$F$2,0)</f>
        <v>38.096853777775955</v>
      </c>
      <c r="P12" s="26">
        <f ca="1">OFFSET(trajectoires!D11, trajectoires!$F$2,0)</f>
        <v>40.636478591752784</v>
      </c>
      <c r="Q12" s="26">
        <f ca="1">OFFSET(trajectoires!E11, trajectoires!$F$2,0)</f>
        <v>40.636478591752784</v>
      </c>
      <c r="R12" s="4"/>
    </row>
    <row r="13" spans="2:19" x14ac:dyDescent="0.3">
      <c r="B13" s="6" t="s">
        <v>7</v>
      </c>
      <c r="C13" s="18">
        <v>8</v>
      </c>
      <c r="D13" s="4"/>
      <c r="E13" s="4"/>
      <c r="F13" s="4"/>
      <c r="G13" s="4"/>
      <c r="H13" s="4"/>
      <c r="I13" s="4"/>
      <c r="J13" s="4"/>
      <c r="K13" s="4"/>
      <c r="L13" s="4"/>
      <c r="M13" s="26">
        <f ca="1">OFFSET(trajectoires!A12, trajectoires!$F$2,0)</f>
        <v>0.89999999999999991</v>
      </c>
      <c r="N13" s="26">
        <f ca="1">OFFSET(trajectoires!B12, trajectoires!$F$2,0)</f>
        <v>41.737932023171339</v>
      </c>
      <c r="O13" s="26">
        <f ca="1">OFFSET(trajectoires!C12, trajectoires!$F$2,0)</f>
        <v>40.825016653268221</v>
      </c>
      <c r="P13" s="26">
        <f ca="1">OFFSET(trajectoires!D12, trajectoires!$F$2,0)</f>
        <v>40.096877330307528</v>
      </c>
      <c r="Q13" s="26">
        <f ca="1">OFFSET(trajectoires!E12, trajectoires!$F$2,0)</f>
        <v>40.096877330307528</v>
      </c>
      <c r="R13" s="4"/>
    </row>
    <row r="14" spans="2:19" x14ac:dyDescent="0.3">
      <c r="B14" s="6" t="s">
        <v>5</v>
      </c>
      <c r="C14" s="17">
        <v>1000</v>
      </c>
      <c r="D14" s="4"/>
      <c r="E14" s="4"/>
      <c r="F14" s="4"/>
      <c r="G14" s="4"/>
      <c r="H14" s="4"/>
      <c r="I14" s="4"/>
      <c r="J14" s="4"/>
      <c r="K14" s="4"/>
      <c r="L14" s="4"/>
      <c r="M14" s="26">
        <f ca="1">OFFSET(trajectoires!A13, trajectoires!$F$2,0)</f>
        <v>0.99999999999999989</v>
      </c>
      <c r="N14" s="26">
        <f ca="1">OFFSET(trajectoires!B13, trajectoires!$F$2,0)</f>
        <v>40.846426856228405</v>
      </c>
      <c r="O14" s="26">
        <f ca="1">OFFSET(trajectoires!C13, trajectoires!$F$2,0)</f>
        <v>42.093438553710882</v>
      </c>
      <c r="P14" s="26">
        <f ca="1">OFFSET(trajectoires!D13, trajectoires!$F$2,0)</f>
        <v>39.892871202885431</v>
      </c>
      <c r="Q14" s="26">
        <f ca="1">OFFSET(trajectoires!E13, trajectoires!$F$2,0)</f>
        <v>39.892871202885431</v>
      </c>
      <c r="R14" s="4"/>
    </row>
    <row r="15" spans="2:19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9" ht="25.8" x14ac:dyDescent="0.3">
      <c r="B16" s="27" t="s">
        <v>11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4"/>
    </row>
    <row r="17" spans="2:19" x14ac:dyDescent="0.3">
      <c r="B17" s="12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5" t="s">
        <v>26</v>
      </c>
      <c r="P17" s="5" t="s">
        <v>12</v>
      </c>
      <c r="Q17" s="5" t="s">
        <v>27</v>
      </c>
      <c r="R17" s="4"/>
    </row>
    <row r="18" spans="2:19" x14ac:dyDescent="0.3">
      <c r="B18" s="2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6" t="str">
        <f>IC!A3</f>
        <v>C_inf</v>
      </c>
      <c r="O18" s="11">
        <f>IC!C3</f>
        <v>5.0109734703821838</v>
      </c>
      <c r="P18" s="9">
        <f>IC!D3-IC!B3</f>
        <v>0.92053941296968134</v>
      </c>
      <c r="Q18" s="8">
        <f>IC!E3</f>
        <v>1.6000000759959221E-2</v>
      </c>
      <c r="R18" s="4"/>
    </row>
    <row r="19" spans="2:19" x14ac:dyDescent="0.3">
      <c r="B19" s="2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6" t="str">
        <f>IC!A4</f>
        <v>C_5nt</v>
      </c>
      <c r="O19" s="11">
        <f>IC!C4</f>
        <v>4.9535104317412069</v>
      </c>
      <c r="P19" s="9">
        <f>IC!D4-IC!B4</f>
        <v>0.42534335930741918</v>
      </c>
      <c r="Q19" s="8">
        <f>IC!E4</f>
        <v>0.15199999511241913</v>
      </c>
      <c r="R19" s="4"/>
    </row>
    <row r="20" spans="2:19" x14ac:dyDescent="0.3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6" t="str">
        <f>IC!A5</f>
        <v>C_anti</v>
      </c>
      <c r="O20" s="11">
        <f>IC!C5</f>
        <v>5.0755735018700534</v>
      </c>
      <c r="P20" s="9">
        <f>IC!D5-IC!B5</f>
        <v>0.6378376103399841</v>
      </c>
      <c r="Q20" s="8">
        <f>IC!E5</f>
        <v>6.1999998986721039E-2</v>
      </c>
      <c r="R20" s="4"/>
    </row>
    <row r="21" spans="2:19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6" t="str">
        <f>IC!A6</f>
        <v>VC_1</v>
      </c>
      <c r="O21" s="11">
        <f>IC!C6</f>
        <v>5.1212929370562676</v>
      </c>
      <c r="P21" s="9">
        <f>IC!D6-IC!B6</f>
        <v>0.72294708231305549</v>
      </c>
      <c r="Q21" s="8">
        <f>IC!E6</f>
        <v>5.4999999701976776E-2</v>
      </c>
      <c r="R21" s="4"/>
    </row>
    <row r="22" spans="2:19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6" t="str">
        <f>IC!A7</f>
        <v>VC_2</v>
      </c>
      <c r="O22" s="11">
        <f>IC!C7</f>
        <v>4.6642496827461875</v>
      </c>
      <c r="P22" s="9">
        <f>IC!D7-IC!B7</f>
        <v>0.56661928892317626</v>
      </c>
      <c r="Q22" s="8">
        <f>IC!E7</f>
        <v>4.6999998390674591E-2</v>
      </c>
      <c r="R22" s="4"/>
    </row>
    <row r="23" spans="2:19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20" t="str">
        <f>IC!A8</f>
        <v>C_N</v>
      </c>
      <c r="O23" s="21">
        <f>IC!C8</f>
        <v>5.469902483951202</v>
      </c>
      <c r="P23" s="22">
        <f>IC!D8-IC!B8</f>
        <v>0.95760826479615702</v>
      </c>
      <c r="Q23" s="23">
        <f>IC!E8</f>
        <v>3.0999999493360519E-2</v>
      </c>
      <c r="R23" s="4"/>
    </row>
    <row r="24" spans="2:19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2:19" ht="24" customHeight="1" x14ac:dyDescent="0.3">
      <c r="S25" s="10"/>
    </row>
  </sheetData>
  <sheetProtection sheet="1" objects="1" scenarios="1"/>
  <protectedRanges>
    <protectedRange sqref="C13:C14" name="Range3"/>
    <protectedRange sqref="C5:C8" name="Range1"/>
    <protectedRange sqref="C10:C11" name="Range2"/>
  </protectedRanges>
  <mergeCells count="5">
    <mergeCell ref="B2:F2"/>
    <mergeCell ref="M2:Q2"/>
    <mergeCell ref="B16:Q16"/>
    <mergeCell ref="G2:L2"/>
    <mergeCell ref="B18:B19"/>
  </mergeCells>
  <conditionalFormatting sqref="P18:P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{8D5A6951-A19F-4E2A-9F5D-A2AC975A3F20}</x14:id>
        </ext>
      </extLst>
    </cfRule>
  </conditionalFormatting>
  <conditionalFormatting sqref="Q18:Q2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xWindow="106" yWindow="382" count="6">
    <dataValidation type="whole" errorStyle="warning" allowBlank="1" showInputMessage="1" showErrorMessage="1" errorTitle="Numero trop haut ou bas" error="Numero trop haut ou bas" promptTitle="Nombre de sous-intervalles" prompt="Choissisez les nombre des intervalles avec lesquelles le prix X_N est calculé" sqref="C13" xr:uid="{E8CD53C7-E4B5-4194-A0FC-EF16AB7C27E2}">
      <formula1>1</formula1>
      <formula2>C10/2-1</formula2>
    </dataValidation>
    <dataValidation type="whole" errorStyle="warning" allowBlank="1" showInputMessage="1" showErrorMessage="1" errorTitle="nt trop haut" error="Il faut mettre au moins &quot;1&quot;._x000a_Les arrays de Excel donnent des erreurs pour les numéros trop grands." promptTitle="nombre des trajectoires" prompt="Veuillez-vous donner le nombre des trajectoires." sqref="C14" xr:uid="{FC6DBB3F-37BD-4EE9-9CC2-40431F20D21A}">
      <formula1>1</formula1>
      <formula2>10000</formula2>
    </dataValidation>
    <dataValidation type="decimal" allowBlank="1" showInputMessage="1" showErrorMessage="1" errorTitle="valeur invalide" error="Veuillez-vous svp saisir une valeur positive et assez petite. _x000a_Valeurs plus que 0.03 mènent à une erreur &quot;overflow&quot;." promptTitle="sigma" prompt="Le sigma de la fonction donnée pour calculer dS" sqref="C8" xr:uid="{FFA31301-7F57-4173-94BC-89474717D409}">
      <formula1>0</formula1>
      <formula2>0.03</formula2>
    </dataValidation>
    <dataValidation allowBlank="1" showInputMessage="1" showErrorMessage="1" promptTitle="S_0" prompt="Le prix initial des toutes actions." sqref="C5" xr:uid="{91E64D85-0DAF-49AD-8705-0E0BC08BC916}"/>
    <dataValidation type="whole" allowBlank="1" showInputMessage="1" showErrorMessage="1" errorTitle="Erreur" error="Le numéro doit être entier, et entre Nd et 800, sinon votre ordinateur va fondre." promptTitle="n" prompt="Le nombre des pas entre 0 et T." sqref="C10" xr:uid="{B5A80B20-3C43-4F00-B832-723CFA21433E}">
      <formula1>C13</formula1>
      <formula2>800</formula2>
    </dataValidation>
    <dataValidation allowBlank="1" showInputMessage="1" showErrorMessage="1" promptTitle="K" prompt="Le prix d'exercice d'une option d'achat." sqref="C6" xr:uid="{941BD08D-EC54-4455-B482-A92604426BFF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17</xdr:col>
                    <xdr:colOff>7620</xdr:colOff>
                    <xdr:row>3</xdr:row>
                    <xdr:rowOff>7620</xdr:rowOff>
                  </from>
                  <to>
                    <xdr:col>17</xdr:col>
                    <xdr:colOff>182880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5A6951-A19F-4E2A-9F5D-A2AC975A3F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P18:P23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R93"/>
  <sheetViews>
    <sheetView workbookViewId="0">
      <selection sqref="A1:E1"/>
    </sheetView>
  </sheetViews>
  <sheetFormatPr defaultRowHeight="14.4" x14ac:dyDescent="0.3"/>
  <cols>
    <col min="6" max="7" width="8.88671875" hidden="1" customWidth="1"/>
  </cols>
  <sheetData>
    <row r="1" spans="1:18" x14ac:dyDescent="0.3">
      <c r="A1" s="29" t="s">
        <v>33</v>
      </c>
      <c r="B1" s="29"/>
      <c r="C1" s="29"/>
      <c r="D1" s="29"/>
      <c r="E1" s="29"/>
      <c r="F1" s="24" t="s">
        <v>32</v>
      </c>
      <c r="G1" s="24"/>
      <c r="H1" s="24"/>
      <c r="I1" s="30" t="s">
        <v>31</v>
      </c>
      <c r="J1" s="30"/>
      <c r="K1" s="30"/>
      <c r="L1" s="30"/>
      <c r="M1" s="30"/>
      <c r="N1" s="30"/>
      <c r="O1" s="30"/>
      <c r="P1" s="30"/>
      <c r="Q1" s="30"/>
      <c r="R1" s="30"/>
    </row>
    <row r="2" spans="1:18" x14ac:dyDescent="0.3">
      <c r="A2" s="1" t="s">
        <v>15</v>
      </c>
      <c r="B2" s="1" t="s">
        <v>22</v>
      </c>
      <c r="C2" s="1" t="s">
        <v>23</v>
      </c>
      <c r="D2" s="1" t="s">
        <v>16</v>
      </c>
      <c r="E2" s="1" t="s">
        <v>17</v>
      </c>
      <c r="F2">
        <v>0</v>
      </c>
    </row>
    <row r="3" spans="1:18" x14ac:dyDescent="0.3">
      <c r="A3">
        <v>0</v>
      </c>
      <c r="B3">
        <v>40</v>
      </c>
      <c r="C3">
        <v>40</v>
      </c>
      <c r="D3">
        <v>40</v>
      </c>
      <c r="E3">
        <v>40</v>
      </c>
      <c r="I3">
        <v>40</v>
      </c>
      <c r="J3">
        <v>40</v>
      </c>
      <c r="K3">
        <v>40</v>
      </c>
      <c r="L3">
        <v>40</v>
      </c>
      <c r="M3">
        <v>40</v>
      </c>
      <c r="N3">
        <v>40</v>
      </c>
      <c r="O3">
        <v>40</v>
      </c>
      <c r="P3">
        <v>40</v>
      </c>
      <c r="Q3">
        <v>40</v>
      </c>
      <c r="R3">
        <v>40</v>
      </c>
    </row>
    <row r="4" spans="1:18" x14ac:dyDescent="0.3">
      <c r="A4">
        <v>0.1</v>
      </c>
      <c r="B4">
        <v>43.943441878869351</v>
      </c>
      <c r="C4">
        <v>36.456558121130655</v>
      </c>
      <c r="D4">
        <v>40.739862664105452</v>
      </c>
      <c r="E4">
        <v>40.739862664105452</v>
      </c>
      <c r="I4">
        <v>39.652558374155106</v>
      </c>
      <c r="J4">
        <v>40.102511335042237</v>
      </c>
      <c r="K4">
        <v>42.466350420014862</v>
      </c>
      <c r="L4">
        <v>41.932378080208807</v>
      </c>
      <c r="M4">
        <v>40.36896753383823</v>
      </c>
      <c r="N4">
        <v>37.87333728519522</v>
      </c>
      <c r="O4">
        <v>39.265644531294853</v>
      </c>
      <c r="P4">
        <v>39.778319563313175</v>
      </c>
      <c r="Q4">
        <v>39.500203252791607</v>
      </c>
      <c r="R4">
        <v>40.356382933221738</v>
      </c>
    </row>
    <row r="5" spans="1:18" x14ac:dyDescent="0.3">
      <c r="A5">
        <v>0.2</v>
      </c>
      <c r="B5">
        <v>41.592991678176219</v>
      </c>
      <c r="C5">
        <v>38.580995538235818</v>
      </c>
      <c r="D5">
        <v>40.298708572506818</v>
      </c>
      <c r="E5">
        <v>40.298708572506818</v>
      </c>
      <c r="I5">
        <v>39.803720001742413</v>
      </c>
      <c r="J5">
        <v>39.234531918050621</v>
      </c>
      <c r="K5">
        <v>40.659243671817556</v>
      </c>
      <c r="L5">
        <v>40.903525219543255</v>
      </c>
      <c r="M5">
        <v>39.901686542480839</v>
      </c>
      <c r="N5">
        <v>38.664550442128458</v>
      </c>
      <c r="O5">
        <v>37.593713602354534</v>
      </c>
      <c r="P5">
        <v>40.772451562942443</v>
      </c>
      <c r="Q5">
        <v>39.681935378222391</v>
      </c>
      <c r="R5">
        <v>36.892494437560551</v>
      </c>
    </row>
    <row r="6" spans="1:18" x14ac:dyDescent="0.3">
      <c r="A6">
        <v>0.30000000000000004</v>
      </c>
      <c r="B6">
        <v>41.132734835812919</v>
      </c>
      <c r="C6">
        <v>39.370867821448826</v>
      </c>
      <c r="D6">
        <v>40.174153790504398</v>
      </c>
      <c r="E6">
        <v>40.174153790504398</v>
      </c>
      <c r="I6">
        <v>39.129929924183863</v>
      </c>
      <c r="J6">
        <v>38.850263042962105</v>
      </c>
      <c r="K6">
        <v>40.369673460779524</v>
      </c>
      <c r="L6">
        <v>40.533802214576959</v>
      </c>
      <c r="M6">
        <v>40.375298202334136</v>
      </c>
      <c r="N6">
        <v>36.345900356064618</v>
      </c>
      <c r="O6">
        <v>36.49470686547032</v>
      </c>
      <c r="P6">
        <v>38.575289911393618</v>
      </c>
      <c r="Q6">
        <v>38.829881144579446</v>
      </c>
      <c r="R6">
        <v>38.921243245834098</v>
      </c>
    </row>
    <row r="7" spans="1:18" x14ac:dyDescent="0.3">
      <c r="A7">
        <v>0.4</v>
      </c>
      <c r="B7">
        <v>42.317121350385733</v>
      </c>
      <c r="C7">
        <v>38.651204524431236</v>
      </c>
      <c r="D7">
        <v>40.35965568488654</v>
      </c>
      <c r="E7">
        <v>40.35965568488654</v>
      </c>
      <c r="I7">
        <v>40.373575332547453</v>
      </c>
      <c r="J7">
        <v>38.952705555635582</v>
      </c>
      <c r="K7">
        <v>38.973567434025547</v>
      </c>
      <c r="L7">
        <v>42.153130425534798</v>
      </c>
      <c r="M7">
        <v>38.45479662776328</v>
      </c>
      <c r="N7">
        <v>36.275626711092045</v>
      </c>
      <c r="O7">
        <v>37.950722264864091</v>
      </c>
      <c r="P7">
        <v>42.551855327503496</v>
      </c>
      <c r="Q7">
        <v>40.29567975483117</v>
      </c>
      <c r="R7">
        <v>40.745192160218267</v>
      </c>
    </row>
    <row r="8" spans="1:18" x14ac:dyDescent="0.3">
      <c r="A8">
        <v>0.5</v>
      </c>
      <c r="B8">
        <v>43.008058942519632</v>
      </c>
      <c r="C8">
        <v>38.426028533427925</v>
      </c>
      <c r="D8">
        <v>40.446722039133014</v>
      </c>
      <c r="E8">
        <v>40.446722039133014</v>
      </c>
      <c r="I8">
        <v>39.296356210742545</v>
      </c>
      <c r="J8">
        <v>41.51458506949897</v>
      </c>
      <c r="K8">
        <v>40.590787669478026</v>
      </c>
      <c r="L8">
        <v>42.148008774312068</v>
      </c>
      <c r="M8">
        <v>37.254023083727724</v>
      </c>
      <c r="N8">
        <v>35.037238937117017</v>
      </c>
      <c r="O8">
        <v>38.13923660803016</v>
      </c>
      <c r="P8">
        <v>42.492867310793756</v>
      </c>
      <c r="Q8">
        <v>40.595067903482708</v>
      </c>
      <c r="R8">
        <v>40.370892845097096</v>
      </c>
    </row>
    <row r="9" spans="1:18" x14ac:dyDescent="0.3">
      <c r="A9">
        <v>0.6</v>
      </c>
      <c r="B9">
        <v>44.063833302290689</v>
      </c>
      <c r="C9">
        <v>37.908136141328185</v>
      </c>
      <c r="D9">
        <v>40.595762397310551</v>
      </c>
      <c r="E9">
        <v>40.595762397310551</v>
      </c>
      <c r="I9">
        <v>39.978575912034302</v>
      </c>
      <c r="J9">
        <v>39.802804982247096</v>
      </c>
      <c r="K9">
        <v>41.480747200409702</v>
      </c>
      <c r="L9">
        <v>43.816810947365482</v>
      </c>
      <c r="M9">
        <v>35.564764381566675</v>
      </c>
      <c r="N9">
        <v>33.677119331495746</v>
      </c>
      <c r="O9">
        <v>38.08933165267657</v>
      </c>
      <c r="P9">
        <v>41.475457306966888</v>
      </c>
      <c r="Q9">
        <v>37.523907603484687</v>
      </c>
      <c r="R9">
        <v>39.299561687683287</v>
      </c>
    </row>
    <row r="10" spans="1:18" x14ac:dyDescent="0.3">
      <c r="A10">
        <v>0.7</v>
      </c>
      <c r="B10">
        <v>44.577687655674453</v>
      </c>
      <c r="C10">
        <v>37.863450659659463</v>
      </c>
      <c r="D10">
        <v>40.645939636207672</v>
      </c>
      <c r="E10">
        <v>40.645939636207672</v>
      </c>
      <c r="I10">
        <v>41.364728352854897</v>
      </c>
      <c r="J10">
        <v>39.484155357954862</v>
      </c>
      <c r="K10">
        <v>38.507006834161977</v>
      </c>
      <c r="L10">
        <v>43.453848156600152</v>
      </c>
      <c r="M10">
        <v>36.473672584220616</v>
      </c>
      <c r="N10">
        <v>32.053501356190488</v>
      </c>
      <c r="O10">
        <v>36.692230712429534</v>
      </c>
      <c r="P10">
        <v>40.770192306329719</v>
      </c>
      <c r="Q10">
        <v>37.044284406733745</v>
      </c>
      <c r="R10">
        <v>41.031911198516006</v>
      </c>
    </row>
    <row r="11" spans="1:18" x14ac:dyDescent="0.3">
      <c r="A11">
        <v>0.79999999999999993</v>
      </c>
      <c r="B11">
        <v>44.74425833247146</v>
      </c>
      <c r="C11">
        <v>38.096853777775955</v>
      </c>
      <c r="D11">
        <v>40.636478591752784</v>
      </c>
      <c r="E11">
        <v>40.636478591752784</v>
      </c>
      <c r="I11">
        <v>43.61057969317438</v>
      </c>
      <c r="J11">
        <v>37.397495630422611</v>
      </c>
      <c r="K11">
        <v>38.627551199707206</v>
      </c>
      <c r="L11">
        <v>41.758150405651591</v>
      </c>
      <c r="M11">
        <v>36.628311036619415</v>
      </c>
      <c r="N11">
        <v>32.111662088020459</v>
      </c>
      <c r="O11">
        <v>38.227159228769381</v>
      </c>
      <c r="P11">
        <v>41.69044769918947</v>
      </c>
      <c r="Q11">
        <v>36.035980007388652</v>
      </c>
      <c r="R11">
        <v>40.757506328147109</v>
      </c>
    </row>
    <row r="12" spans="1:18" x14ac:dyDescent="0.3">
      <c r="A12">
        <v>0.89999999999999991</v>
      </c>
      <c r="B12">
        <v>41.737932023171339</v>
      </c>
      <c r="C12">
        <v>40.825016653268221</v>
      </c>
      <c r="D12">
        <v>40.096877330307528</v>
      </c>
      <c r="E12">
        <v>40.096877330307528</v>
      </c>
      <c r="I12">
        <v>42.406358931584442</v>
      </c>
      <c r="J12">
        <v>37.293964249271191</v>
      </c>
      <c r="K12">
        <v>40.291530777648632</v>
      </c>
      <c r="L12">
        <v>44.166440731177389</v>
      </c>
      <c r="M12">
        <v>38.453714003164073</v>
      </c>
      <c r="N12">
        <v>32.714980891785977</v>
      </c>
      <c r="O12">
        <v>38.607903063140078</v>
      </c>
      <c r="P12">
        <v>39.790369216948143</v>
      </c>
      <c r="Q12">
        <v>38.198954092366961</v>
      </c>
      <c r="R12">
        <v>38.956399378641933</v>
      </c>
    </row>
    <row r="13" spans="1:18" x14ac:dyDescent="0.3">
      <c r="A13">
        <v>0.99999999999999989</v>
      </c>
      <c r="B13">
        <v>40.846426856228405</v>
      </c>
      <c r="C13">
        <v>42.093438553710882</v>
      </c>
      <c r="D13">
        <v>39.892871202885431</v>
      </c>
      <c r="E13">
        <v>39.892871202885431</v>
      </c>
      <c r="I13">
        <v>42.446971776753017</v>
      </c>
      <c r="J13">
        <v>36.784654566480228</v>
      </c>
      <c r="K13">
        <v>39.67359258665595</v>
      </c>
      <c r="L13">
        <v>46.444643782758192</v>
      </c>
      <c r="M13">
        <v>36.743721715836337</v>
      </c>
      <c r="N13">
        <v>32.291983909802539</v>
      </c>
      <c r="O13">
        <v>38.606309276640609</v>
      </c>
      <c r="P13">
        <v>42.027643883777053</v>
      </c>
      <c r="Q13">
        <v>37.930014147905752</v>
      </c>
      <c r="R13">
        <v>38.767861347396163</v>
      </c>
    </row>
    <row r="14" spans="1:18" x14ac:dyDescent="0.3">
      <c r="A14">
        <v>1.0999999999999999</v>
      </c>
      <c r="B14">
        <v>42.440671128557163</v>
      </c>
      <c r="C14">
        <v>40.849756135215145</v>
      </c>
      <c r="D14">
        <v>40.159101507894938</v>
      </c>
      <c r="E14">
        <v>40.159101507894938</v>
      </c>
      <c r="I14">
        <v>44.892436994252463</v>
      </c>
      <c r="J14">
        <v>35.192185916785888</v>
      </c>
      <c r="K14">
        <v>39.719531342098421</v>
      </c>
      <c r="L14">
        <v>50.339345495797268</v>
      </c>
      <c r="M14">
        <v>36.989215036906707</v>
      </c>
      <c r="N14">
        <v>31.549532562024133</v>
      </c>
      <c r="O14">
        <v>40.74442186090878</v>
      </c>
      <c r="P14">
        <v>42.279445517493748</v>
      </c>
      <c r="Q14">
        <v>36.878434832666734</v>
      </c>
      <c r="R14">
        <v>39.284293590954462</v>
      </c>
    </row>
    <row r="15" spans="1:18" x14ac:dyDescent="0.3">
      <c r="A15">
        <v>1.2</v>
      </c>
      <c r="B15">
        <v>45.650777265145088</v>
      </c>
      <c r="C15">
        <v>38.223079790506503</v>
      </c>
      <c r="D15">
        <v>40.701244920198455</v>
      </c>
      <c r="E15">
        <v>40.701244920198455</v>
      </c>
      <c r="I15">
        <v>47.352895345267029</v>
      </c>
      <c r="J15">
        <v>35.784863359213986</v>
      </c>
      <c r="K15">
        <v>38.893631928243053</v>
      </c>
      <c r="L15">
        <v>47.033760829394559</v>
      </c>
      <c r="M15">
        <v>38.777690260859671</v>
      </c>
      <c r="N15">
        <v>32.176711381369309</v>
      </c>
      <c r="O15">
        <v>40.094286701213839</v>
      </c>
      <c r="P15">
        <v>41.909841339322973</v>
      </c>
      <c r="Q15">
        <v>37.299390697049752</v>
      </c>
      <c r="R15">
        <v>37.519445723402548</v>
      </c>
    </row>
    <row r="16" spans="1:18" x14ac:dyDescent="0.3">
      <c r="A16">
        <v>1.3</v>
      </c>
      <c r="B16">
        <v>45.86108498456209</v>
      </c>
      <c r="C16">
        <v>38.427944722644895</v>
      </c>
      <c r="D16">
        <v>40.698335747907585</v>
      </c>
      <c r="E16">
        <v>40.698335747907585</v>
      </c>
      <c r="I16">
        <v>47.86527661097891</v>
      </c>
      <c r="J16">
        <v>36.762061145223043</v>
      </c>
      <c r="K16">
        <v>37.853259731463659</v>
      </c>
      <c r="L16">
        <v>45.585638747606282</v>
      </c>
      <c r="M16">
        <v>38.632195762498291</v>
      </c>
      <c r="N16">
        <v>32.418878818753313</v>
      </c>
      <c r="O16">
        <v>41.087829198958524</v>
      </c>
      <c r="P16">
        <v>41.078195309227418</v>
      </c>
      <c r="Q16">
        <v>36.800994244560115</v>
      </c>
      <c r="R16">
        <v>36.878486022314576</v>
      </c>
    </row>
    <row r="17" spans="1:18" x14ac:dyDescent="0.3">
      <c r="A17">
        <v>1.4000000000000001</v>
      </c>
      <c r="B17">
        <v>45.787583604280414</v>
      </c>
      <c r="C17">
        <v>38.852342017111496</v>
      </c>
      <c r="D17">
        <v>40.649586362159212</v>
      </c>
      <c r="E17">
        <v>40.649586362159212</v>
      </c>
      <c r="I17">
        <v>47.390188222872617</v>
      </c>
      <c r="J17">
        <v>37.890310715968262</v>
      </c>
      <c r="K17">
        <v>38.618378754002087</v>
      </c>
      <c r="L17">
        <v>47.644623611656677</v>
      </c>
      <c r="M17">
        <v>38.656089353822807</v>
      </c>
      <c r="N17">
        <v>32.336877356594378</v>
      </c>
      <c r="O17">
        <v>42.445213662058457</v>
      </c>
      <c r="P17">
        <v>40.810643013032603</v>
      </c>
      <c r="Q17">
        <v>36.619569056487769</v>
      </c>
      <c r="R17">
        <v>36.748561998139067</v>
      </c>
    </row>
    <row r="18" spans="1:18" x14ac:dyDescent="0.3">
      <c r="A18">
        <v>1.5000000000000002</v>
      </c>
      <c r="B18">
        <v>43.765235191663137</v>
      </c>
      <c r="C18">
        <v>40.806288808909869</v>
      </c>
      <c r="D18">
        <v>40.286274856443292</v>
      </c>
      <c r="E18">
        <v>40.286274856443292</v>
      </c>
      <c r="I18">
        <v>49.83435332450707</v>
      </c>
      <c r="J18">
        <v>36.210278808341634</v>
      </c>
      <c r="K18">
        <v>37.847081235766879</v>
      </c>
      <c r="L18">
        <v>45.129461877961731</v>
      </c>
      <c r="M18">
        <v>38.581660374882858</v>
      </c>
      <c r="N18">
        <v>32.480562591555717</v>
      </c>
      <c r="O18">
        <v>42.529117086528643</v>
      </c>
      <c r="P18">
        <v>39.21489782910308</v>
      </c>
      <c r="Q18">
        <v>39.417504198681094</v>
      </c>
      <c r="R18">
        <v>34.840060001940529</v>
      </c>
    </row>
    <row r="19" spans="1:18" x14ac:dyDescent="0.3">
      <c r="A19">
        <v>1.6000000000000003</v>
      </c>
      <c r="B19">
        <v>44.445630796053216</v>
      </c>
      <c r="C19">
        <v>40.594760208059874</v>
      </c>
      <c r="D19">
        <v>40.365984917239437</v>
      </c>
      <c r="E19">
        <v>40.365984917239437</v>
      </c>
      <c r="I19">
        <v>52.193607710890547</v>
      </c>
      <c r="J19">
        <v>35.868377085684031</v>
      </c>
      <c r="K19">
        <v>36.362731361185212</v>
      </c>
      <c r="L19">
        <v>40.662935952303179</v>
      </c>
      <c r="M19">
        <v>35.471705677776214</v>
      </c>
      <c r="N19">
        <v>31.623734273081286</v>
      </c>
      <c r="O19">
        <v>42.678333198419402</v>
      </c>
      <c r="P19">
        <v>41.955977066110549</v>
      </c>
      <c r="Q19">
        <v>38.752125708474679</v>
      </c>
      <c r="R19">
        <v>32.649999843061856</v>
      </c>
    </row>
    <row r="20" spans="1:18" x14ac:dyDescent="0.3">
      <c r="A20">
        <v>1.7000000000000004</v>
      </c>
      <c r="B20">
        <v>43.547626215630274</v>
      </c>
      <c r="C20">
        <v>41.775578105635823</v>
      </c>
      <c r="D20">
        <v>40.176953212069179</v>
      </c>
      <c r="E20">
        <v>40.176953212069179</v>
      </c>
      <c r="I20">
        <v>51.956303260202233</v>
      </c>
      <c r="J20">
        <v>34.36176319772423</v>
      </c>
      <c r="K20">
        <v>36.104979809144439</v>
      </c>
      <c r="L20">
        <v>40.48199475013709</v>
      </c>
      <c r="M20">
        <v>36.518286753462014</v>
      </c>
      <c r="N20">
        <v>32.016287877083705</v>
      </c>
      <c r="O20">
        <v>43.222714926521974</v>
      </c>
      <c r="P20">
        <v>42.15435968616746</v>
      </c>
      <c r="Q20">
        <v>39.771989294275016</v>
      </c>
      <c r="R20">
        <v>33.294665930557358</v>
      </c>
    </row>
    <row r="21" spans="1:18" x14ac:dyDescent="0.3">
      <c r="A21">
        <v>1.8000000000000005</v>
      </c>
      <c r="B21">
        <v>44.392774302374448</v>
      </c>
      <c r="C21">
        <v>41.394949793923701</v>
      </c>
      <c r="D21">
        <v>40.286116015474462</v>
      </c>
      <c r="E21">
        <v>40.286116015474462</v>
      </c>
      <c r="I21">
        <v>54.593969370096858</v>
      </c>
      <c r="J21">
        <v>36.827387438692703</v>
      </c>
      <c r="K21">
        <v>34.630268304253313</v>
      </c>
      <c r="L21">
        <v>39.971394137300486</v>
      </c>
      <c r="M21">
        <v>37.053062562334162</v>
      </c>
      <c r="N21">
        <v>31.659621044769018</v>
      </c>
      <c r="O21">
        <v>43.330355316269753</v>
      </c>
      <c r="P21">
        <v>45.708859869256756</v>
      </c>
      <c r="Q21">
        <v>42.844105906528064</v>
      </c>
      <c r="R21">
        <v>33.900355606296138</v>
      </c>
    </row>
    <row r="22" spans="1:18" x14ac:dyDescent="0.3">
      <c r="A22">
        <v>1.9000000000000006</v>
      </c>
      <c r="B22">
        <v>45.530511566664238</v>
      </c>
      <c r="C22">
        <v>40.777329667998856</v>
      </c>
      <c r="D22">
        <v>40.440922659270612</v>
      </c>
      <c r="E22">
        <v>40.440922659270612</v>
      </c>
      <c r="I22">
        <v>56.019972016741001</v>
      </c>
      <c r="J22">
        <v>38.245400022112761</v>
      </c>
      <c r="K22">
        <v>36.518193998144213</v>
      </c>
      <c r="L22">
        <v>43.015298067717275</v>
      </c>
      <c r="M22">
        <v>35.770268614055539</v>
      </c>
      <c r="N22">
        <v>33.614032233677655</v>
      </c>
      <c r="O22">
        <v>42.195885056665851</v>
      </c>
      <c r="P22">
        <v>44.284212242432559</v>
      </c>
      <c r="Q22">
        <v>40.755053106114332</v>
      </c>
      <c r="R22">
        <v>33.961572986908322</v>
      </c>
    </row>
    <row r="23" spans="1:18" x14ac:dyDescent="0.3">
      <c r="A23">
        <v>2.0000000000000004</v>
      </c>
      <c r="B23">
        <v>48.997795807077651</v>
      </c>
      <c r="C23">
        <v>38.235409264067513</v>
      </c>
      <c r="D23">
        <v>40.9681669030658</v>
      </c>
      <c r="E23">
        <v>40.9681669030658</v>
      </c>
      <c r="I23">
        <v>55.807172015615372</v>
      </c>
      <c r="J23">
        <v>38.346797536600846</v>
      </c>
      <c r="K23">
        <v>36.257843057098462</v>
      </c>
      <c r="L23">
        <v>42.706007758740888</v>
      </c>
      <c r="M23">
        <v>36.025404427270566</v>
      </c>
      <c r="N23">
        <v>32.427027859739411</v>
      </c>
      <c r="O23">
        <v>41.907926045943356</v>
      </c>
      <c r="P23">
        <v>44.34683657488582</v>
      </c>
      <c r="Q23">
        <v>41.817688094395947</v>
      </c>
      <c r="R23">
        <v>34.649587681892733</v>
      </c>
    </row>
    <row r="24" spans="1:18" x14ac:dyDescent="0.3">
      <c r="A24">
        <v>2.1000000000000005</v>
      </c>
      <c r="B24">
        <v>50.369187021112744</v>
      </c>
      <c r="C24">
        <v>37.650111622181292</v>
      </c>
      <c r="D24">
        <v>41.132376559566538</v>
      </c>
      <c r="E24">
        <v>41.132376559566538</v>
      </c>
      <c r="I24">
        <v>56.431178604027536</v>
      </c>
      <c r="J24">
        <v>40.753445880319397</v>
      </c>
      <c r="K24">
        <v>35.023832880395844</v>
      </c>
      <c r="L24">
        <v>44.25054196242008</v>
      </c>
      <c r="M24">
        <v>38.708863253958221</v>
      </c>
      <c r="N24">
        <v>32.865820031349529</v>
      </c>
      <c r="O24">
        <v>45.310732983614074</v>
      </c>
      <c r="P24">
        <v>45.072727569213498</v>
      </c>
      <c r="Q24">
        <v>43.899244623237671</v>
      </c>
      <c r="R24">
        <v>32.240783646412744</v>
      </c>
    </row>
    <row r="25" spans="1:18" x14ac:dyDescent="0.3">
      <c r="A25">
        <v>2.2000000000000006</v>
      </c>
      <c r="B25">
        <v>51.416657071870958</v>
      </c>
      <c r="C25">
        <v>37.324188397551751</v>
      </c>
      <c r="D25">
        <v>41.243659996656135</v>
      </c>
      <c r="E25">
        <v>41.243659996656135</v>
      </c>
      <c r="I25">
        <v>58.397699471330057</v>
      </c>
      <c r="J25">
        <v>40.30651295093881</v>
      </c>
      <c r="K25">
        <v>35.352303705966605</v>
      </c>
      <c r="L25">
        <v>46.534448337291749</v>
      </c>
      <c r="M25">
        <v>38.558473366739499</v>
      </c>
      <c r="N25">
        <v>36.933594009514408</v>
      </c>
      <c r="O25">
        <v>48.976742802461843</v>
      </c>
      <c r="P25">
        <v>46.230248469667046</v>
      </c>
      <c r="Q25">
        <v>45.887723564791493</v>
      </c>
      <c r="R25">
        <v>32.676919646785926</v>
      </c>
    </row>
    <row r="26" spans="1:18" x14ac:dyDescent="0.3">
      <c r="A26">
        <v>2.3000000000000007</v>
      </c>
      <c r="B26">
        <v>47.552534472496816</v>
      </c>
      <c r="C26">
        <v>40.059717074608031</v>
      </c>
      <c r="D26">
        <v>40.684754269088437</v>
      </c>
      <c r="E26">
        <v>40.684754269088437</v>
      </c>
      <c r="I26">
        <v>55.836285026728284</v>
      </c>
      <c r="J26">
        <v>40.788656618214347</v>
      </c>
      <c r="K26">
        <v>36.585979664971518</v>
      </c>
      <c r="L26">
        <v>45.566577512083647</v>
      </c>
      <c r="M26">
        <v>37.775776421830585</v>
      </c>
      <c r="N26">
        <v>37.702669933395761</v>
      </c>
      <c r="O26">
        <v>50.593473294553171</v>
      </c>
      <c r="P26">
        <v>48.278370329259644</v>
      </c>
      <c r="Q26">
        <v>45.611390870111791</v>
      </c>
      <c r="R26">
        <v>32.194272417657437</v>
      </c>
    </row>
    <row r="27" spans="1:18" x14ac:dyDescent="0.3">
      <c r="A27">
        <v>2.4000000000000008</v>
      </c>
      <c r="B27">
        <v>47.261846946713476</v>
      </c>
      <c r="C27">
        <v>40.668622260708254</v>
      </c>
      <c r="D27">
        <v>40.604176810468502</v>
      </c>
      <c r="E27">
        <v>40.604176810468502</v>
      </c>
      <c r="I27">
        <v>53.14950615367497</v>
      </c>
      <c r="J27">
        <v>41.172446841075939</v>
      </c>
      <c r="K27">
        <v>33.286447429023191</v>
      </c>
      <c r="L27">
        <v>45.816781072217744</v>
      </c>
      <c r="M27">
        <v>38.106492240317642</v>
      </c>
      <c r="N27">
        <v>35.119693520061283</v>
      </c>
      <c r="O27">
        <v>50.524336199156139</v>
      </c>
      <c r="P27">
        <v>50.69678449186501</v>
      </c>
      <c r="Q27">
        <v>43.849101191320862</v>
      </c>
      <c r="R27">
        <v>30.806793894452866</v>
      </c>
    </row>
    <row r="28" spans="1:18" x14ac:dyDescent="0.3">
      <c r="A28">
        <v>2.5000000000000009</v>
      </c>
      <c r="B28">
        <v>47.501992808322953</v>
      </c>
      <c r="C28">
        <v>40.868902895823936</v>
      </c>
      <c r="D28">
        <v>40.604767220237719</v>
      </c>
      <c r="E28">
        <v>40.604767220237719</v>
      </c>
      <c r="I28">
        <v>52.687670932478497</v>
      </c>
      <c r="J28">
        <v>43.390500977102732</v>
      </c>
      <c r="K28">
        <v>33.178781643225221</v>
      </c>
      <c r="L28">
        <v>46.735536518204448</v>
      </c>
      <c r="M28">
        <v>37.733578630152003</v>
      </c>
      <c r="N28">
        <v>35.06930615727731</v>
      </c>
      <c r="O28">
        <v>50.819072005836844</v>
      </c>
      <c r="P28">
        <v>51.305550108151877</v>
      </c>
      <c r="Q28">
        <v>44.263378095942898</v>
      </c>
      <c r="R28">
        <v>32.009964544921424</v>
      </c>
    </row>
    <row r="29" spans="1:18" x14ac:dyDescent="0.3">
      <c r="A29">
        <v>2.600000000000001</v>
      </c>
      <c r="B29">
        <v>45.463012343006795</v>
      </c>
      <c r="C29">
        <v>42.889965554470926</v>
      </c>
      <c r="D29">
        <v>40.25709652279501</v>
      </c>
      <c r="E29">
        <v>40.25709652279501</v>
      </c>
      <c r="I29">
        <v>49.858243023885137</v>
      </c>
      <c r="J29">
        <v>44.264026655872946</v>
      </c>
      <c r="K29">
        <v>35.450216818768439</v>
      </c>
      <c r="L29">
        <v>47.334814945915831</v>
      </c>
      <c r="M29">
        <v>39.571397527232484</v>
      </c>
      <c r="N29">
        <v>36.239962187661803</v>
      </c>
      <c r="O29">
        <v>47.771946461656931</v>
      </c>
      <c r="P29">
        <v>50.574213975051087</v>
      </c>
      <c r="Q29">
        <v>42.011280819090388</v>
      </c>
      <c r="R29">
        <v>31.482248224666087</v>
      </c>
    </row>
    <row r="30" spans="1:18" x14ac:dyDescent="0.3">
      <c r="A30">
        <v>2.7000000000000011</v>
      </c>
      <c r="B30">
        <v>44.034545750333592</v>
      </c>
      <c r="C30">
        <v>44.621637971410365</v>
      </c>
      <c r="D30">
        <v>39.987020668674191</v>
      </c>
      <c r="E30">
        <v>39.987020668674191</v>
      </c>
      <c r="I30">
        <v>55.466887088892477</v>
      </c>
      <c r="J30">
        <v>43.48686709564614</v>
      </c>
      <c r="K30">
        <v>36.267546768766586</v>
      </c>
      <c r="L30">
        <v>47.132250121393035</v>
      </c>
      <c r="M30">
        <v>40.524300193022412</v>
      </c>
      <c r="N30">
        <v>37.04413682775786</v>
      </c>
      <c r="O30">
        <v>48.497651547870717</v>
      </c>
      <c r="P30">
        <v>50.600999261092404</v>
      </c>
      <c r="Q30">
        <v>41.096276942076614</v>
      </c>
      <c r="R30">
        <v>33.219720109835585</v>
      </c>
    </row>
    <row r="31" spans="1:18" x14ac:dyDescent="0.3">
      <c r="A31">
        <v>2.8000000000000012</v>
      </c>
      <c r="B31">
        <v>42.442349836209701</v>
      </c>
      <c r="C31">
        <v>46.693480555810261</v>
      </c>
      <c r="D31">
        <v>39.676903176774125</v>
      </c>
      <c r="E31">
        <v>39.676903176774125</v>
      </c>
      <c r="I31">
        <v>54.749024116697079</v>
      </c>
      <c r="J31">
        <v>44.173282424318117</v>
      </c>
      <c r="K31">
        <v>38.353996997540207</v>
      </c>
      <c r="L31">
        <v>49.255750363140407</v>
      </c>
      <c r="M31">
        <v>39.098551114791576</v>
      </c>
      <c r="N31">
        <v>38.618974928029573</v>
      </c>
      <c r="O31">
        <v>53.696878065367237</v>
      </c>
      <c r="P31">
        <v>54.539019212304474</v>
      </c>
      <c r="Q31">
        <v>41.943555166209507</v>
      </c>
      <c r="R31">
        <v>31.393321691227204</v>
      </c>
    </row>
    <row r="32" spans="1:18" x14ac:dyDescent="0.3">
      <c r="A32">
        <v>2.9000000000000012</v>
      </c>
      <c r="B32">
        <v>42.069342786217973</v>
      </c>
      <c r="C32">
        <v>47.602258468934906</v>
      </c>
      <c r="D32">
        <v>39.571077966072046</v>
      </c>
      <c r="E32">
        <v>39.571077966072046</v>
      </c>
      <c r="I32">
        <v>58.825004033905614</v>
      </c>
      <c r="J32">
        <v>46.295515541443557</v>
      </c>
      <c r="K32">
        <v>39.211450145447877</v>
      </c>
      <c r="L32">
        <v>43.906329153681106</v>
      </c>
      <c r="M32">
        <v>39.005348983935562</v>
      </c>
      <c r="N32">
        <v>38.246255191185959</v>
      </c>
      <c r="O32">
        <v>51.258635099597257</v>
      </c>
      <c r="P32">
        <v>57.341893337375794</v>
      </c>
      <c r="Q32">
        <v>44.669044940695912</v>
      </c>
      <c r="R32">
        <v>31.982199552436583</v>
      </c>
    </row>
    <row r="33" spans="1:18" x14ac:dyDescent="0.3">
      <c r="A33">
        <v>3.0000000000000013</v>
      </c>
      <c r="B33">
        <v>40.28335918470566</v>
      </c>
      <c r="C33">
        <v>50.243111392445911</v>
      </c>
      <c r="D33">
        <v>39.205269447224083</v>
      </c>
      <c r="E33">
        <v>39.205269447224083</v>
      </c>
      <c r="I33">
        <v>56.052848707629096</v>
      </c>
      <c r="J33">
        <v>47.376886389620935</v>
      </c>
      <c r="K33">
        <v>38.91950088021165</v>
      </c>
      <c r="L33">
        <v>43.078846950304303</v>
      </c>
      <c r="M33">
        <v>39.281620356209281</v>
      </c>
      <c r="N33">
        <v>36.475511014778952</v>
      </c>
      <c r="O33">
        <v>54.299007018237617</v>
      </c>
      <c r="P33">
        <v>51.430890047085796</v>
      </c>
      <c r="Q33">
        <v>45.74674799015375</v>
      </c>
      <c r="R33">
        <v>31.444095897229737</v>
      </c>
    </row>
    <row r="34" spans="1:18" x14ac:dyDescent="0.3">
      <c r="A34">
        <v>3.1000000000000014</v>
      </c>
      <c r="B34">
        <v>40.678821127176683</v>
      </c>
      <c r="C34">
        <v>50.224037523668017</v>
      </c>
      <c r="D34">
        <v>39.243217043448873</v>
      </c>
      <c r="E34">
        <v>39.243217043448873</v>
      </c>
      <c r="I34">
        <v>58.977409564029081</v>
      </c>
      <c r="J34">
        <v>45.507759265043802</v>
      </c>
      <c r="K34">
        <v>39.290271910533043</v>
      </c>
      <c r="L34">
        <v>43.538724668674853</v>
      </c>
      <c r="M34">
        <v>37.542928601910496</v>
      </c>
      <c r="N34">
        <v>38.510387844733188</v>
      </c>
      <c r="O34">
        <v>50.813675011075311</v>
      </c>
      <c r="P34">
        <v>53.119610642807544</v>
      </c>
      <c r="Q34">
        <v>45.375606813356228</v>
      </c>
      <c r="R34">
        <v>33.144930709537867</v>
      </c>
    </row>
    <row r="35" spans="1:18" x14ac:dyDescent="0.3">
      <c r="A35">
        <v>3.2000000000000015</v>
      </c>
      <c r="B35">
        <v>44.313016574847687</v>
      </c>
      <c r="C35">
        <v>45.768523278731216</v>
      </c>
      <c r="D35">
        <v>39.904386888385694</v>
      </c>
      <c r="E35">
        <v>39.904386888385694</v>
      </c>
      <c r="I35">
        <v>63.202427351943236</v>
      </c>
      <c r="J35">
        <v>46.728641745397006</v>
      </c>
      <c r="K35">
        <v>39.334945066825206</v>
      </c>
      <c r="L35">
        <v>44.098180078475579</v>
      </c>
      <c r="M35">
        <v>36.679315100779725</v>
      </c>
      <c r="N35">
        <v>38.514379268888973</v>
      </c>
      <c r="O35">
        <v>48.350834177844241</v>
      </c>
      <c r="P35">
        <v>51.045212018650396</v>
      </c>
      <c r="Q35">
        <v>45.31389751003114</v>
      </c>
      <c r="R35">
        <v>35.020040451936829</v>
      </c>
    </row>
    <row r="36" spans="1:18" x14ac:dyDescent="0.3">
      <c r="A36">
        <v>3.3000000000000016</v>
      </c>
      <c r="B36">
        <v>41.999833549388086</v>
      </c>
      <c r="C36">
        <v>48.658018569999996</v>
      </c>
      <c r="D36">
        <v>39.474743790847349</v>
      </c>
      <c r="E36">
        <v>39.474743790847349</v>
      </c>
      <c r="I36">
        <v>62.835007296423029</v>
      </c>
      <c r="J36">
        <v>46.823973169799864</v>
      </c>
      <c r="K36">
        <v>38.192232824821623</v>
      </c>
      <c r="L36">
        <v>44.77081392424045</v>
      </c>
      <c r="M36">
        <v>36.398645504342866</v>
      </c>
      <c r="N36">
        <v>39.037882798078208</v>
      </c>
      <c r="O36">
        <v>52.14721022838431</v>
      </c>
      <c r="P36">
        <v>50.510049860867952</v>
      </c>
      <c r="Q36">
        <v>46.215031805240862</v>
      </c>
      <c r="R36">
        <v>35.426032251336757</v>
      </c>
    </row>
    <row r="37" spans="1:18" x14ac:dyDescent="0.3">
      <c r="A37">
        <v>3.4000000000000017</v>
      </c>
      <c r="B37">
        <v>40.4256941751865</v>
      </c>
      <c r="C37">
        <v>51.126097777929267</v>
      </c>
      <c r="D37">
        <v>39.147005468960629</v>
      </c>
      <c r="E37">
        <v>39.147005468960629</v>
      </c>
      <c r="I37">
        <v>60.431748546564847</v>
      </c>
      <c r="J37">
        <v>48.38607214553722</v>
      </c>
      <c r="K37">
        <v>35.644198791345239</v>
      </c>
      <c r="L37">
        <v>42.57094760328102</v>
      </c>
      <c r="M37">
        <v>37.88129292123471</v>
      </c>
      <c r="N37">
        <v>39.438776826157664</v>
      </c>
      <c r="O37">
        <v>50.409722418648961</v>
      </c>
      <c r="P37">
        <v>50.333074812175497</v>
      </c>
      <c r="Q37">
        <v>43.395457031544552</v>
      </c>
      <c r="R37">
        <v>36.767681222350063</v>
      </c>
    </row>
    <row r="38" spans="1:18" x14ac:dyDescent="0.3">
      <c r="A38">
        <v>3.5000000000000018</v>
      </c>
      <c r="B38">
        <v>39.250241323885959</v>
      </c>
      <c r="C38">
        <v>53.341001412341704</v>
      </c>
      <c r="D38">
        <v>38.87902630933133</v>
      </c>
      <c r="E38">
        <v>38.87902630933133</v>
      </c>
      <c r="I38">
        <v>63.436177217091121</v>
      </c>
      <c r="J38">
        <v>48.84155512447979</v>
      </c>
      <c r="K38">
        <v>37.154779567857823</v>
      </c>
      <c r="L38">
        <v>42.366471713129165</v>
      </c>
      <c r="M38">
        <v>38.152650547627147</v>
      </c>
      <c r="N38">
        <v>41.166125169587843</v>
      </c>
      <c r="O38">
        <v>51.441898126455357</v>
      </c>
      <c r="P38">
        <v>55.444217319784073</v>
      </c>
      <c r="Q38">
        <v>46.751199814529151</v>
      </c>
      <c r="R38">
        <v>34.867553711232198</v>
      </c>
    </row>
    <row r="39" spans="1:18" x14ac:dyDescent="0.3">
      <c r="A39">
        <v>3.6000000000000019</v>
      </c>
      <c r="B39">
        <v>39.513164491020056</v>
      </c>
      <c r="C39">
        <v>53.502080263124931</v>
      </c>
      <c r="D39">
        <v>38.892582876597373</v>
      </c>
      <c r="E39">
        <v>38.892582876597373</v>
      </c>
      <c r="I39">
        <v>63.538138030142463</v>
      </c>
      <c r="J39">
        <v>47.563968458191383</v>
      </c>
      <c r="K39">
        <v>35.474724766596594</v>
      </c>
      <c r="L39">
        <v>39.6960507904788</v>
      </c>
      <c r="M39">
        <v>38.585845485173003</v>
      </c>
      <c r="N39">
        <v>41.380420772393023</v>
      </c>
      <c r="O39">
        <v>51.396025939186316</v>
      </c>
      <c r="P39">
        <v>56.575549087417784</v>
      </c>
      <c r="Q39">
        <v>50.633659716647365</v>
      </c>
      <c r="R39">
        <v>35.451524480141394</v>
      </c>
    </row>
    <row r="40" spans="1:18" x14ac:dyDescent="0.3">
      <c r="A40">
        <v>3.700000000000002</v>
      </c>
      <c r="B40">
        <v>38.784602201043135</v>
      </c>
      <c r="C40">
        <v>55.228789087067632</v>
      </c>
      <c r="D40">
        <v>38.706147487685364</v>
      </c>
      <c r="E40">
        <v>38.706147487685364</v>
      </c>
      <c r="I40">
        <v>62.892371983181626</v>
      </c>
      <c r="J40">
        <v>48.999767201921784</v>
      </c>
      <c r="K40">
        <v>34.41909890818475</v>
      </c>
      <c r="L40">
        <v>41.096789378398185</v>
      </c>
      <c r="M40">
        <v>36.621773183650944</v>
      </c>
      <c r="N40">
        <v>38.953796829189294</v>
      </c>
      <c r="O40">
        <v>52.226212907661584</v>
      </c>
      <c r="P40">
        <v>59.033586675565772</v>
      </c>
      <c r="Q40">
        <v>53.623028073346447</v>
      </c>
      <c r="R40">
        <v>34.335788734417967</v>
      </c>
    </row>
    <row r="41" spans="1:18" x14ac:dyDescent="0.3">
      <c r="A41">
        <v>3.800000000000002</v>
      </c>
      <c r="B41">
        <v>40.910935258831991</v>
      </c>
      <c r="C41">
        <v>52.221270205493511</v>
      </c>
      <c r="D41">
        <v>39.10616617374064</v>
      </c>
      <c r="E41">
        <v>39.10616617374064</v>
      </c>
      <c r="I41">
        <v>59.568576990802555</v>
      </c>
      <c r="J41">
        <v>52.031757641507696</v>
      </c>
      <c r="K41">
        <v>34.535680833327049</v>
      </c>
      <c r="L41">
        <v>42.527089194052913</v>
      </c>
      <c r="M41">
        <v>38.434939712354243</v>
      </c>
      <c r="N41">
        <v>38.433401337793484</v>
      </c>
      <c r="O41">
        <v>52.159537497621109</v>
      </c>
      <c r="P41">
        <v>59.381910869895805</v>
      </c>
      <c r="Q41">
        <v>50.144830810312946</v>
      </c>
      <c r="R41">
        <v>33.412432404120402</v>
      </c>
    </row>
    <row r="42" spans="1:18" x14ac:dyDescent="0.3">
      <c r="A42">
        <v>3.9000000000000021</v>
      </c>
      <c r="B42">
        <v>42.610683884729148</v>
      </c>
      <c r="C42">
        <v>50.326074655247822</v>
      </c>
      <c r="D42">
        <v>39.391864978430299</v>
      </c>
      <c r="E42">
        <v>39.391864978430299</v>
      </c>
      <c r="I42">
        <v>59.812995438933491</v>
      </c>
      <c r="J42">
        <v>53.866277927842859</v>
      </c>
      <c r="K42">
        <v>37.619436642564764</v>
      </c>
      <c r="L42">
        <v>46.886031886461048</v>
      </c>
      <c r="M42">
        <v>40.27465450302698</v>
      </c>
      <c r="N42">
        <v>38.928980174592809</v>
      </c>
      <c r="O42">
        <v>54.294681708347497</v>
      </c>
      <c r="P42">
        <v>55.812693943151054</v>
      </c>
      <c r="Q42">
        <v>52.38368212583952</v>
      </c>
      <c r="R42">
        <v>34.943933046878719</v>
      </c>
    </row>
    <row r="43" spans="1:18" x14ac:dyDescent="0.3">
      <c r="A43">
        <v>4.0000000000000018</v>
      </c>
      <c r="B43">
        <v>42.845618870312592</v>
      </c>
      <c r="C43">
        <v>50.54961900646277</v>
      </c>
      <c r="D43">
        <v>39.395798401410282</v>
      </c>
      <c r="E43">
        <v>39.395798401410282</v>
      </c>
      <c r="I43">
        <v>58.374101223245539</v>
      </c>
      <c r="J43">
        <v>58.576639008456787</v>
      </c>
      <c r="K43">
        <v>37.536216926759522</v>
      </c>
      <c r="L43">
        <v>49.052889856920558</v>
      </c>
      <c r="M43">
        <v>40.987613685356195</v>
      </c>
      <c r="N43">
        <v>38.531156905074987</v>
      </c>
      <c r="O43">
        <v>54.525698560499187</v>
      </c>
      <c r="P43">
        <v>58.032444171281639</v>
      </c>
      <c r="Q43">
        <v>55.26793877212166</v>
      </c>
      <c r="R43">
        <v>35.280448202218778</v>
      </c>
    </row>
    <row r="44" spans="1:18" x14ac:dyDescent="0.3">
      <c r="A44">
        <v>4.1000000000000014</v>
      </c>
      <c r="B44">
        <v>41.882611044248009</v>
      </c>
      <c r="C44">
        <v>52.310990032382733</v>
      </c>
      <c r="D44">
        <v>39.185917036910091</v>
      </c>
      <c r="E44">
        <v>39.185917036910091</v>
      </c>
      <c r="I44">
        <v>56.854768713453737</v>
      </c>
      <c r="J44">
        <v>56.431930747599779</v>
      </c>
      <c r="K44">
        <v>37.031435191949789</v>
      </c>
      <c r="L44">
        <v>50.824870620140054</v>
      </c>
      <c r="M44">
        <v>40.149713885934126</v>
      </c>
      <c r="N44">
        <v>39.496037170847565</v>
      </c>
      <c r="O44">
        <v>58.594202532397759</v>
      </c>
      <c r="P44">
        <v>59.11354465973789</v>
      </c>
      <c r="Q44">
        <v>57.474020117334568</v>
      </c>
      <c r="R44">
        <v>36.169396653108436</v>
      </c>
    </row>
    <row r="45" spans="1:18" x14ac:dyDescent="0.3">
      <c r="A45">
        <v>4.2000000000000011</v>
      </c>
      <c r="B45">
        <v>42.65285087219079</v>
      </c>
      <c r="C45">
        <v>51.789714867953187</v>
      </c>
      <c r="D45">
        <v>39.289371235118686</v>
      </c>
      <c r="E45">
        <v>39.289371235118686</v>
      </c>
      <c r="I45">
        <v>53.612895846388717</v>
      </c>
      <c r="J45">
        <v>56.681582452796391</v>
      </c>
      <c r="K45">
        <v>36.75787624140716</v>
      </c>
      <c r="L45">
        <v>50.723827621199121</v>
      </c>
      <c r="M45">
        <v>39.63110195315879</v>
      </c>
      <c r="N45">
        <v>42.427512789245874</v>
      </c>
      <c r="O45">
        <v>61.316392872887647</v>
      </c>
      <c r="P45">
        <v>59.617699244573927</v>
      </c>
      <c r="Q45">
        <v>55.9716727271081</v>
      </c>
      <c r="R45">
        <v>35.626227503304278</v>
      </c>
    </row>
    <row r="46" spans="1:18" x14ac:dyDescent="0.3">
      <c r="A46">
        <v>4.3000000000000007</v>
      </c>
      <c r="B46">
        <v>43.162383653169492</v>
      </c>
      <c r="C46">
        <v>51.652267955374619</v>
      </c>
      <c r="D46">
        <v>39.342549409720796</v>
      </c>
      <c r="E46">
        <v>39.342549409720796</v>
      </c>
      <c r="I46">
        <v>57.203035593544179</v>
      </c>
      <c r="J46">
        <v>58.528902079215996</v>
      </c>
      <c r="K46">
        <v>37.921755157252072</v>
      </c>
      <c r="L46">
        <v>52.581087364534149</v>
      </c>
      <c r="M46">
        <v>39.468047175785117</v>
      </c>
      <c r="N46">
        <v>42.467861121043029</v>
      </c>
      <c r="O46">
        <v>58.462727117749438</v>
      </c>
      <c r="P46">
        <v>60.915701911099895</v>
      </c>
      <c r="Q46">
        <v>53.126604428756394</v>
      </c>
      <c r="R46">
        <v>36.099871399834775</v>
      </c>
    </row>
    <row r="47" spans="1:18" x14ac:dyDescent="0.3">
      <c r="A47">
        <v>4.4000000000000004</v>
      </c>
      <c r="B47">
        <v>42.48855615753375</v>
      </c>
      <c r="C47">
        <v>53.07516466992876</v>
      </c>
      <c r="D47">
        <v>39.18568446939765</v>
      </c>
      <c r="E47">
        <v>39.18568446939765</v>
      </c>
      <c r="I47">
        <v>57.754262675619827</v>
      </c>
      <c r="J47">
        <v>60.103957985733786</v>
      </c>
      <c r="K47">
        <v>37.302388800313665</v>
      </c>
      <c r="L47">
        <v>55.033382796294532</v>
      </c>
      <c r="M47">
        <v>40.247772501598149</v>
      </c>
      <c r="N47">
        <v>45.974065618081966</v>
      </c>
      <c r="O47">
        <v>63.750597807975133</v>
      </c>
      <c r="P47">
        <v>58.34566337921698</v>
      </c>
      <c r="Q47">
        <v>55.654893919406881</v>
      </c>
      <c r="R47">
        <v>34.962481373494427</v>
      </c>
    </row>
    <row r="48" spans="1:18" x14ac:dyDescent="0.3">
      <c r="A48">
        <v>4.5</v>
      </c>
      <c r="B48">
        <v>43.377746204277649</v>
      </c>
      <c r="C48">
        <v>52.395706357304512</v>
      </c>
      <c r="D48">
        <v>39.307861215487819</v>
      </c>
      <c r="E48">
        <v>39.307861215487819</v>
      </c>
      <c r="I48">
        <v>62.638426926075567</v>
      </c>
      <c r="J48">
        <v>60.156264944560633</v>
      </c>
      <c r="K48">
        <v>37.663881931008326</v>
      </c>
      <c r="L48">
        <v>56.07804900899162</v>
      </c>
      <c r="M48">
        <v>42.132357850701389</v>
      </c>
      <c r="N48">
        <v>49.204111717452136</v>
      </c>
      <c r="O48">
        <v>68.171419060999412</v>
      </c>
      <c r="P48">
        <v>59.994154751208178</v>
      </c>
      <c r="Q48">
        <v>57.007134464865828</v>
      </c>
      <c r="R48">
        <v>33.833457663823566</v>
      </c>
    </row>
    <row r="49" spans="1:18" x14ac:dyDescent="0.3">
      <c r="A49">
        <v>4.5999999999999996</v>
      </c>
      <c r="B49">
        <v>39.558126353282368</v>
      </c>
      <c r="C49">
        <v>58.016255456307064</v>
      </c>
      <c r="D49">
        <v>38.601421008118244</v>
      </c>
      <c r="E49">
        <v>38.601421008118244</v>
      </c>
      <c r="I49">
        <v>68.215623000604239</v>
      </c>
      <c r="J49">
        <v>62.465596357261248</v>
      </c>
      <c r="K49">
        <v>35.882211910812025</v>
      </c>
      <c r="L49">
        <v>56.848737425239037</v>
      </c>
      <c r="M49">
        <v>38.961300760369177</v>
      </c>
      <c r="N49">
        <v>49.60811634044115</v>
      </c>
      <c r="O49">
        <v>71.38048799512157</v>
      </c>
      <c r="P49">
        <v>60.161998947083809</v>
      </c>
      <c r="Q49">
        <v>56.506717269036088</v>
      </c>
      <c r="R49">
        <v>32.501286276878041</v>
      </c>
    </row>
    <row r="50" spans="1:18" x14ac:dyDescent="0.3">
      <c r="A50">
        <v>4.6999999999999993</v>
      </c>
      <c r="B50">
        <v>41.741646676726369</v>
      </c>
      <c r="C50">
        <v>54.779453335604039</v>
      </c>
      <c r="D50">
        <v>39.00047950650378</v>
      </c>
      <c r="E50">
        <v>39.00047950650378</v>
      </c>
      <c r="I50">
        <v>70.533852174038586</v>
      </c>
      <c r="J50">
        <v>67.417071480448072</v>
      </c>
      <c r="K50">
        <v>35.622281072279748</v>
      </c>
      <c r="L50">
        <v>56.180944695685142</v>
      </c>
      <c r="M50">
        <v>36.712635703616577</v>
      </c>
      <c r="N50">
        <v>49.732583026890509</v>
      </c>
      <c r="O50">
        <v>77.131961655456664</v>
      </c>
      <c r="P50">
        <v>59.34098338963139</v>
      </c>
      <c r="Q50">
        <v>57.670451616938337</v>
      </c>
      <c r="R50">
        <v>32.325378399470239</v>
      </c>
    </row>
    <row r="51" spans="1:18" x14ac:dyDescent="0.3">
      <c r="A51">
        <v>4.7999999999999989</v>
      </c>
      <c r="B51">
        <v>43.670751300725875</v>
      </c>
      <c r="C51">
        <v>52.46692079188545</v>
      </c>
      <c r="D51">
        <v>39.319445336429105</v>
      </c>
      <c r="E51">
        <v>39.319445336429105</v>
      </c>
      <c r="I51">
        <v>69.967664790507584</v>
      </c>
      <c r="J51">
        <v>69.543070873385105</v>
      </c>
      <c r="K51">
        <v>37.100871507761688</v>
      </c>
      <c r="L51">
        <v>50.893155935476507</v>
      </c>
      <c r="M51">
        <v>37.969859891286319</v>
      </c>
      <c r="N51">
        <v>49.673053322767053</v>
      </c>
      <c r="O51">
        <v>77.849300732284561</v>
      </c>
      <c r="P51">
        <v>57.446541002035474</v>
      </c>
      <c r="Q51">
        <v>55.918995396248526</v>
      </c>
      <c r="R51">
        <v>33.769413842042496</v>
      </c>
    </row>
    <row r="52" spans="1:18" x14ac:dyDescent="0.3">
      <c r="A52">
        <v>4.8999999999999986</v>
      </c>
      <c r="B52">
        <v>43.554481059369792</v>
      </c>
      <c r="C52">
        <v>53.169911158116562</v>
      </c>
      <c r="D52">
        <v>39.261470291660089</v>
      </c>
      <c r="E52">
        <v>39.261470291660089</v>
      </c>
      <c r="I52">
        <v>68.210318883646835</v>
      </c>
      <c r="J52">
        <v>67.840683183888075</v>
      </c>
      <c r="K52">
        <v>37.810432343335457</v>
      </c>
      <c r="L52">
        <v>50.158470694428352</v>
      </c>
      <c r="M52">
        <v>38.341331492813396</v>
      </c>
      <c r="N52">
        <v>46.733952609815958</v>
      </c>
      <c r="O52">
        <v>71.472530402221992</v>
      </c>
      <c r="P52">
        <v>57.732471012482179</v>
      </c>
      <c r="Q52">
        <v>51.19588638097504</v>
      </c>
      <c r="R52">
        <v>32.53693951398342</v>
      </c>
    </row>
    <row r="53" spans="1:18" x14ac:dyDescent="0.3">
      <c r="A53">
        <v>4.9999999999999982</v>
      </c>
      <c r="B53">
        <v>43.329398109894257</v>
      </c>
      <c r="C53">
        <v>54.033086876272293</v>
      </c>
      <c r="D53">
        <v>39.184436257957849</v>
      </c>
      <c r="E53">
        <v>39.184436257957849</v>
      </c>
      <c r="I53">
        <v>69.435014173762866</v>
      </c>
      <c r="J53">
        <v>73.265123918333799</v>
      </c>
      <c r="K53">
        <v>38.527616042954726</v>
      </c>
      <c r="L53">
        <v>52.244224757654393</v>
      </c>
      <c r="M53">
        <v>36.30327344510453</v>
      </c>
      <c r="N53">
        <v>44.644815059898349</v>
      </c>
      <c r="O53">
        <v>72.809675711360939</v>
      </c>
      <c r="P53">
        <v>54.20279751701181</v>
      </c>
      <c r="Q53">
        <v>52.295515740223323</v>
      </c>
      <c r="R53">
        <v>34.97766735183329</v>
      </c>
    </row>
    <row r="54" spans="1:18" x14ac:dyDescent="0.3">
      <c r="A54">
        <v>5.0999999999999979</v>
      </c>
      <c r="B54">
        <v>42.549119441641466</v>
      </c>
      <c r="C54">
        <v>55.691536758052344</v>
      </c>
      <c r="D54">
        <v>39.009669514466466</v>
      </c>
      <c r="E54">
        <v>39.009669514466466</v>
      </c>
      <c r="I54">
        <v>73.863957657796689</v>
      </c>
      <c r="J54">
        <v>70.252063736605976</v>
      </c>
      <c r="K54">
        <v>39.431182009010726</v>
      </c>
      <c r="L54">
        <v>49.030397738215179</v>
      </c>
      <c r="M54">
        <v>37.591109853898267</v>
      </c>
      <c r="N54">
        <v>49.029351838067832</v>
      </c>
      <c r="O54">
        <v>71.976215927164901</v>
      </c>
      <c r="P54">
        <v>56.8654732752589</v>
      </c>
      <c r="Q54">
        <v>53.033526582002153</v>
      </c>
      <c r="R54">
        <v>35.826171012722476</v>
      </c>
    </row>
    <row r="55" spans="1:18" x14ac:dyDescent="0.3">
      <c r="A55">
        <v>5.1999999999999975</v>
      </c>
      <c r="B55">
        <v>40.755895419974408</v>
      </c>
      <c r="C55">
        <v>58.97380326834304</v>
      </c>
      <c r="D55">
        <v>38.648294193502352</v>
      </c>
      <c r="E55">
        <v>38.648294193502352</v>
      </c>
      <c r="I55">
        <v>73.448526560396999</v>
      </c>
      <c r="J55">
        <v>76.540446650630798</v>
      </c>
      <c r="K55">
        <v>39.19777904267972</v>
      </c>
      <c r="L55">
        <v>48.356543160795361</v>
      </c>
      <c r="M55">
        <v>35.647095047456965</v>
      </c>
      <c r="N55">
        <v>46.711951614237549</v>
      </c>
      <c r="O55">
        <v>76.469218181804848</v>
      </c>
      <c r="P55">
        <v>52.632817791397365</v>
      </c>
      <c r="Q55">
        <v>54.36551342916183</v>
      </c>
      <c r="R55">
        <v>34.823129556890549</v>
      </c>
    </row>
    <row r="56" spans="1:18" x14ac:dyDescent="0.3">
      <c r="A56">
        <v>5.2999999999999972</v>
      </c>
      <c r="B56">
        <v>45.852230414439973</v>
      </c>
      <c r="C56">
        <v>50.75261040013234</v>
      </c>
      <c r="D56">
        <v>39.588493892947518</v>
      </c>
      <c r="E56">
        <v>39.588493892947518</v>
      </c>
      <c r="I56">
        <v>72.027014158203727</v>
      </c>
      <c r="J56">
        <v>67.580098976014341</v>
      </c>
      <c r="K56">
        <v>39.021488242654407</v>
      </c>
      <c r="L56">
        <v>45.53674892077585</v>
      </c>
      <c r="M56">
        <v>35.478261078257553</v>
      </c>
      <c r="N56">
        <v>40.792570224983109</v>
      </c>
      <c r="O56">
        <v>73.023757975996531</v>
      </c>
      <c r="P56">
        <v>50.084307214241427</v>
      </c>
      <c r="Q56">
        <v>61.517562700173322</v>
      </c>
      <c r="R56">
        <v>33.97131789458868</v>
      </c>
    </row>
    <row r="57" spans="1:18" x14ac:dyDescent="0.3">
      <c r="A57">
        <v>5.3999999999999968</v>
      </c>
      <c r="B57">
        <v>45.635001179579547</v>
      </c>
      <c r="C57">
        <v>51.526320348876965</v>
      </c>
      <c r="D57">
        <v>39.516591818902192</v>
      </c>
      <c r="E57">
        <v>39.516591818902192</v>
      </c>
      <c r="I57">
        <v>73.570779865972071</v>
      </c>
      <c r="J57">
        <v>66.13222284042466</v>
      </c>
      <c r="K57">
        <v>39.11535746406031</v>
      </c>
      <c r="L57">
        <v>45.817139129927369</v>
      </c>
      <c r="M57">
        <v>33.424783284902617</v>
      </c>
      <c r="N57">
        <v>40.632279003032451</v>
      </c>
      <c r="O57">
        <v>75.31345650497768</v>
      </c>
      <c r="P57">
        <v>49.356065369548304</v>
      </c>
      <c r="Q57">
        <v>65.494103193138088</v>
      </c>
      <c r="R57">
        <v>31.531862163355619</v>
      </c>
    </row>
    <row r="58" spans="1:18" x14ac:dyDescent="0.3">
      <c r="A58">
        <v>5.4999999999999964</v>
      </c>
      <c r="B58">
        <v>45.45666130165678</v>
      </c>
      <c r="C58">
        <v>52.271674736603707</v>
      </c>
      <c r="D58">
        <v>39.450659347307628</v>
      </c>
      <c r="E58">
        <v>39.450659347307628</v>
      </c>
      <c r="I58">
        <v>70.437424053138287</v>
      </c>
      <c r="J58">
        <v>70.414015798938067</v>
      </c>
      <c r="K58">
        <v>40.699837751316736</v>
      </c>
      <c r="L58">
        <v>45.536546043426689</v>
      </c>
      <c r="M58">
        <v>31.505527985853348</v>
      </c>
      <c r="N58">
        <v>40.482997653791067</v>
      </c>
      <c r="O58">
        <v>68.055418193461662</v>
      </c>
      <c r="P58">
        <v>51.011435714571853</v>
      </c>
      <c r="Q58">
        <v>65.387948457936957</v>
      </c>
      <c r="R58">
        <v>32.174322578969345</v>
      </c>
    </row>
    <row r="59" spans="1:18" x14ac:dyDescent="0.3">
      <c r="A59">
        <v>5.5999999999999961</v>
      </c>
      <c r="B59">
        <v>42.905842057457988</v>
      </c>
      <c r="C59">
        <v>55.958750983159369</v>
      </c>
      <c r="D59">
        <v>38.997425875237965</v>
      </c>
      <c r="E59">
        <v>38.997425875237965</v>
      </c>
      <c r="I59">
        <v>67.962993221195575</v>
      </c>
      <c r="J59">
        <v>67.424355821864054</v>
      </c>
      <c r="K59">
        <v>42.694225838045412</v>
      </c>
      <c r="L59">
        <v>46.458197967460499</v>
      </c>
      <c r="M59">
        <v>30.346434353175585</v>
      </c>
      <c r="N59">
        <v>41.004749329108641</v>
      </c>
      <c r="O59">
        <v>69.199714911499868</v>
      </c>
      <c r="P59">
        <v>48.920096642523951</v>
      </c>
      <c r="Q59">
        <v>65.262491899612598</v>
      </c>
      <c r="R59">
        <v>33.385109941596816</v>
      </c>
    </row>
    <row r="60" spans="1:18" x14ac:dyDescent="0.3">
      <c r="A60">
        <v>5.6999999999999957</v>
      </c>
      <c r="B60">
        <v>43.806934372285305</v>
      </c>
      <c r="C60">
        <v>55.215939919238004</v>
      </c>
      <c r="D60">
        <v>39.119570910930463</v>
      </c>
      <c r="E60">
        <v>39.119570910930463</v>
      </c>
      <c r="I60">
        <v>65.563295544069632</v>
      </c>
      <c r="J60">
        <v>62.389982988692893</v>
      </c>
      <c r="K60">
        <v>44.083558305942397</v>
      </c>
      <c r="L60">
        <v>46.284688960851</v>
      </c>
      <c r="M60">
        <v>30.195851460486157</v>
      </c>
      <c r="N60">
        <v>40.419192928134315</v>
      </c>
      <c r="O60">
        <v>73.299330646344998</v>
      </c>
      <c r="P60">
        <v>46.586412517117623</v>
      </c>
      <c r="Q60">
        <v>67.184234232721252</v>
      </c>
      <c r="R60">
        <v>32.448857407367768</v>
      </c>
    </row>
    <row r="61" spans="1:18" x14ac:dyDescent="0.3">
      <c r="A61">
        <v>5.7999999999999954</v>
      </c>
      <c r="B61">
        <v>43.029638951253126</v>
      </c>
      <c r="C61">
        <v>56.901911009969631</v>
      </c>
      <c r="D61">
        <v>38.947756748641922</v>
      </c>
      <c r="E61">
        <v>38.947756748641922</v>
      </c>
      <c r="I61">
        <v>66.553441340713931</v>
      </c>
      <c r="J61">
        <v>67.545019115227277</v>
      </c>
      <c r="K61">
        <v>46.853467580564626</v>
      </c>
      <c r="L61">
        <v>45.51930332503639</v>
      </c>
      <c r="M61">
        <v>30.320171022169756</v>
      </c>
      <c r="N61">
        <v>40.953089097186783</v>
      </c>
      <c r="O61">
        <v>79.312070866494665</v>
      </c>
      <c r="P61">
        <v>45.372450415244735</v>
      </c>
      <c r="Q61">
        <v>68.799927913546256</v>
      </c>
      <c r="R61">
        <v>33.389982338032596</v>
      </c>
    </row>
    <row r="62" spans="1:18" x14ac:dyDescent="0.3">
      <c r="A62">
        <v>5.899999999999995</v>
      </c>
      <c r="B62">
        <v>42.290422874059644</v>
      </c>
      <c r="C62">
        <v>58.637706203326672</v>
      </c>
      <c r="D62">
        <v>38.778699956585868</v>
      </c>
      <c r="E62">
        <v>38.778699956585868</v>
      </c>
      <c r="I62">
        <v>66.643416453567411</v>
      </c>
      <c r="J62">
        <v>71.863311465020985</v>
      </c>
      <c r="K62">
        <v>44.460886258909859</v>
      </c>
      <c r="L62">
        <v>48.817965682562509</v>
      </c>
      <c r="M62">
        <v>29.932783223724226</v>
      </c>
      <c r="N62">
        <v>43.453322366085146</v>
      </c>
      <c r="O62">
        <v>78.557683167141491</v>
      </c>
      <c r="P62">
        <v>48.394602586911454</v>
      </c>
      <c r="Q62">
        <v>68.556561122979915</v>
      </c>
      <c r="R62">
        <v>32.186268682710107</v>
      </c>
    </row>
    <row r="63" spans="1:18" x14ac:dyDescent="0.3">
      <c r="A63">
        <v>5.9999999999999947</v>
      </c>
      <c r="B63">
        <v>45.157283294601939</v>
      </c>
      <c r="C63">
        <v>54.595449271218179</v>
      </c>
      <c r="D63">
        <v>39.261467730501003</v>
      </c>
      <c r="E63">
        <v>39.261467730501003</v>
      </c>
      <c r="I63">
        <v>64.597662739157201</v>
      </c>
      <c r="J63">
        <v>69.697878794568183</v>
      </c>
      <c r="K63">
        <v>48.087920747852458</v>
      </c>
      <c r="L63">
        <v>51.304060177803279</v>
      </c>
      <c r="M63">
        <v>31.269651255236003</v>
      </c>
      <c r="N63">
        <v>44.934733247091188</v>
      </c>
      <c r="O63">
        <v>83.287750040245442</v>
      </c>
      <c r="P63">
        <v>45.175905079603467</v>
      </c>
      <c r="Q63">
        <v>72.202692724403207</v>
      </c>
      <c r="R63">
        <v>33.645972902181398</v>
      </c>
    </row>
    <row r="64" spans="1:18" x14ac:dyDescent="0.3">
      <c r="A64">
        <v>6.0999999999999943</v>
      </c>
      <c r="B64">
        <v>45.141050762605552</v>
      </c>
      <c r="C64">
        <v>55.190157085995686</v>
      </c>
      <c r="D64">
        <v>39.221590254319231</v>
      </c>
      <c r="E64">
        <v>39.221590254319231</v>
      </c>
      <c r="I64">
        <v>70.622959215649232</v>
      </c>
      <c r="J64">
        <v>61.753565786883954</v>
      </c>
      <c r="K64">
        <v>45.965395264882069</v>
      </c>
      <c r="L64">
        <v>51.453453559416644</v>
      </c>
      <c r="M64">
        <v>32.434688296038644</v>
      </c>
      <c r="N64">
        <v>49.008925519640272</v>
      </c>
      <c r="O64">
        <v>77.887005301916915</v>
      </c>
      <c r="P64">
        <v>47.465348734001289</v>
      </c>
      <c r="Q64">
        <v>66.01631918759017</v>
      </c>
      <c r="R64">
        <v>33.124415392510059</v>
      </c>
    </row>
    <row r="65" spans="1:18" x14ac:dyDescent="0.3">
      <c r="A65">
        <v>6.199999999999994</v>
      </c>
      <c r="B65">
        <v>47.063334723357393</v>
      </c>
      <c r="C65">
        <v>53.172553916330855</v>
      </c>
      <c r="D65">
        <v>39.50128642486542</v>
      </c>
      <c r="E65">
        <v>39.50128642486542</v>
      </c>
      <c r="I65">
        <v>64.54621358422358</v>
      </c>
      <c r="J65">
        <v>64.615935691655991</v>
      </c>
      <c r="K65">
        <v>42.964671006702631</v>
      </c>
      <c r="L65">
        <v>51.808669378502543</v>
      </c>
      <c r="M65">
        <v>35.412554147667592</v>
      </c>
      <c r="N65">
        <v>48.35781898356985</v>
      </c>
      <c r="O65">
        <v>78.159136858852165</v>
      </c>
      <c r="P65">
        <v>51.769398780507736</v>
      </c>
      <c r="Q65">
        <v>68.5051084749051</v>
      </c>
      <c r="R65">
        <v>32.801143006632465</v>
      </c>
    </row>
    <row r="66" spans="1:18" x14ac:dyDescent="0.3">
      <c r="A66">
        <v>6.2999999999999936</v>
      </c>
      <c r="B66">
        <v>49.197810645363816</v>
      </c>
      <c r="C66">
        <v>51.157714290577992</v>
      </c>
      <c r="D66">
        <v>39.795394766662604</v>
      </c>
      <c r="E66">
        <v>39.795394766662604</v>
      </c>
      <c r="I66">
        <v>64.674001726224347</v>
      </c>
      <c r="J66">
        <v>64.024098950916297</v>
      </c>
      <c r="K66">
        <v>47.072918708997534</v>
      </c>
      <c r="L66">
        <v>52.536233279331412</v>
      </c>
      <c r="M66">
        <v>35.406929194211941</v>
      </c>
      <c r="N66">
        <v>51.799168542216663</v>
      </c>
      <c r="O66">
        <v>81.528567479089958</v>
      </c>
      <c r="P66">
        <v>51.890650664222008</v>
      </c>
      <c r="Q66">
        <v>68.369059576498415</v>
      </c>
      <c r="R66">
        <v>32.906188730599666</v>
      </c>
    </row>
    <row r="67" spans="1:18" x14ac:dyDescent="0.3">
      <c r="A67">
        <v>6.3999999999999932</v>
      </c>
      <c r="B67">
        <v>46.910642893819755</v>
      </c>
      <c r="C67">
        <v>54.099528211790251</v>
      </c>
      <c r="D67">
        <v>39.428354752277215</v>
      </c>
      <c r="E67">
        <v>39.428354752277215</v>
      </c>
      <c r="I67">
        <v>63.39569558780758</v>
      </c>
      <c r="J67">
        <v>63.593807083933562</v>
      </c>
      <c r="K67">
        <v>50.255888397723723</v>
      </c>
      <c r="L67">
        <v>55.961215102543804</v>
      </c>
      <c r="M67">
        <v>36.104513261036793</v>
      </c>
      <c r="N67">
        <v>49.670295476744748</v>
      </c>
      <c r="O67">
        <v>82.197656872756269</v>
      </c>
      <c r="P67">
        <v>49.421885510414214</v>
      </c>
      <c r="Q67">
        <v>65.670503337013784</v>
      </c>
      <c r="R67">
        <v>33.693464037852216</v>
      </c>
    </row>
    <row r="68" spans="1:18" x14ac:dyDescent="0.3">
      <c r="A68">
        <v>6.4999999999999929</v>
      </c>
      <c r="B68">
        <v>47.075830441413345</v>
      </c>
      <c r="C68">
        <v>54.455932685142805</v>
      </c>
      <c r="D68">
        <v>39.417560128937005</v>
      </c>
      <c r="E68">
        <v>39.417560128937005</v>
      </c>
      <c r="I68">
        <v>62.435535117927152</v>
      </c>
      <c r="J68">
        <v>67.866791367823865</v>
      </c>
      <c r="K68">
        <v>51.663771606288257</v>
      </c>
      <c r="L68">
        <v>56.548586571411064</v>
      </c>
      <c r="M68">
        <v>37.116903494821834</v>
      </c>
      <c r="N68">
        <v>50.456618168494067</v>
      </c>
      <c r="O68">
        <v>81.758609309201859</v>
      </c>
      <c r="P68">
        <v>53.838971035588337</v>
      </c>
      <c r="Q68">
        <v>61.821306853027245</v>
      </c>
      <c r="R68">
        <v>35.109240568026898</v>
      </c>
    </row>
    <row r="69" spans="1:18" x14ac:dyDescent="0.3">
      <c r="A69">
        <v>6.5999999999999925</v>
      </c>
      <c r="B69">
        <v>48.298742664104388</v>
      </c>
      <c r="C69">
        <v>53.499578532368822</v>
      </c>
      <c r="D69">
        <v>39.570430974451391</v>
      </c>
      <c r="E69">
        <v>39.570430974451391</v>
      </c>
      <c r="I69">
        <v>63.109396923423127</v>
      </c>
      <c r="J69">
        <v>63.16799341475447</v>
      </c>
      <c r="K69">
        <v>54.441692096221274</v>
      </c>
      <c r="L69">
        <v>57.4451008394852</v>
      </c>
      <c r="M69">
        <v>37.470911852979754</v>
      </c>
      <c r="N69">
        <v>49.391727360089682</v>
      </c>
      <c r="O69">
        <v>89.766587293062017</v>
      </c>
      <c r="P69">
        <v>54.227491860596423</v>
      </c>
      <c r="Q69">
        <v>60.40990223314094</v>
      </c>
      <c r="R69">
        <v>36.713094499080889</v>
      </c>
    </row>
    <row r="70" spans="1:18" x14ac:dyDescent="0.3">
      <c r="A70">
        <v>6.6999999999999922</v>
      </c>
      <c r="B70">
        <v>49.661990657832938</v>
      </c>
      <c r="C70">
        <v>52.459342053066678</v>
      </c>
      <c r="D70">
        <v>39.73752618505393</v>
      </c>
      <c r="E70">
        <v>39.73752618505393</v>
      </c>
      <c r="I70">
        <v>67.857184957435749</v>
      </c>
      <c r="J70">
        <v>66.899493988230489</v>
      </c>
      <c r="K70">
        <v>56.638261834617268</v>
      </c>
      <c r="L70">
        <v>59.169208629755452</v>
      </c>
      <c r="M70">
        <v>38.596583681409044</v>
      </c>
      <c r="N70">
        <v>47.952356725870089</v>
      </c>
      <c r="O70">
        <v>102.61149905631127</v>
      </c>
      <c r="P70">
        <v>56.476370329771868</v>
      </c>
      <c r="Q70">
        <v>56.729345626081113</v>
      </c>
      <c r="R70">
        <v>36.198953674031678</v>
      </c>
    </row>
    <row r="71" spans="1:18" x14ac:dyDescent="0.3">
      <c r="A71">
        <v>6.7999999999999918</v>
      </c>
      <c r="B71">
        <v>50.589167581234484</v>
      </c>
      <c r="C71">
        <v>51.984612859488422</v>
      </c>
      <c r="D71">
        <v>39.834514295276144</v>
      </c>
      <c r="E71">
        <v>39.834514295276144</v>
      </c>
      <c r="I71">
        <v>66.007832047425552</v>
      </c>
      <c r="J71">
        <v>63.088571074017253</v>
      </c>
      <c r="K71">
        <v>55.721382055049865</v>
      </c>
      <c r="L71">
        <v>60.711143542250674</v>
      </c>
      <c r="M71">
        <v>39.753517980625475</v>
      </c>
      <c r="N71">
        <v>48.779939957454474</v>
      </c>
      <c r="O71">
        <v>98.315748018535331</v>
      </c>
      <c r="P71">
        <v>59.362175003475102</v>
      </c>
      <c r="Q71">
        <v>58.823289178277165</v>
      </c>
      <c r="R71">
        <v>38.385203177932212</v>
      </c>
    </row>
    <row r="72" spans="1:18" x14ac:dyDescent="0.3">
      <c r="A72">
        <v>6.8999999999999915</v>
      </c>
      <c r="B72">
        <v>48.42926390005335</v>
      </c>
      <c r="C72">
        <v>54.757904369134813</v>
      </c>
      <c r="D72">
        <v>39.499229436370079</v>
      </c>
      <c r="E72">
        <v>39.499229436370079</v>
      </c>
      <c r="I72">
        <v>65.452946874069895</v>
      </c>
      <c r="J72">
        <v>63.11122577603426</v>
      </c>
      <c r="K72">
        <v>54.287176871528047</v>
      </c>
      <c r="L72">
        <v>62.093829833273048</v>
      </c>
      <c r="M72">
        <v>45.471416555029954</v>
      </c>
      <c r="N72">
        <v>44.985670155008712</v>
      </c>
      <c r="O72">
        <v>103.51790324574192</v>
      </c>
      <c r="P72">
        <v>58.590996512226376</v>
      </c>
      <c r="Q72">
        <v>59.490334754258456</v>
      </c>
      <c r="R72">
        <v>35.669001079379534</v>
      </c>
    </row>
    <row r="73" spans="1:18" x14ac:dyDescent="0.3">
      <c r="A73">
        <v>6.9999999999999911</v>
      </c>
      <c r="B73">
        <v>50.815013369036713</v>
      </c>
      <c r="C73">
        <v>52.454466058330695</v>
      </c>
      <c r="D73">
        <v>39.817248085693301</v>
      </c>
      <c r="E73">
        <v>39.817248085693301</v>
      </c>
      <c r="I73">
        <v>67.650239344984342</v>
      </c>
      <c r="J73">
        <v>61.582593364861268</v>
      </c>
      <c r="K73">
        <v>55.033801958962563</v>
      </c>
      <c r="L73">
        <v>61.780283714816164</v>
      </c>
      <c r="M73">
        <v>46.261139162862179</v>
      </c>
      <c r="N73">
        <v>48.887386963614603</v>
      </c>
      <c r="O73">
        <v>101.59158036358959</v>
      </c>
      <c r="P73">
        <v>61.430754538657219</v>
      </c>
      <c r="Q73">
        <v>61.252074544064648</v>
      </c>
      <c r="R73">
        <v>36.130320677772374</v>
      </c>
    </row>
    <row r="74" spans="1:18" x14ac:dyDescent="0.3">
      <c r="A74">
        <v>7.0999999999999908</v>
      </c>
      <c r="B74">
        <v>53.555053498550159</v>
      </c>
      <c r="C74">
        <v>50.10950048897616</v>
      </c>
      <c r="D74">
        <v>40.160392519807466</v>
      </c>
      <c r="E74">
        <v>40.160392519807466</v>
      </c>
      <c r="I74">
        <v>65.533992009883292</v>
      </c>
      <c r="J74">
        <v>59.39081076696668</v>
      </c>
      <c r="K74">
        <v>60.239576750898372</v>
      </c>
      <c r="L74">
        <v>59.584881119111451</v>
      </c>
      <c r="M74">
        <v>50.321421130566122</v>
      </c>
      <c r="N74">
        <v>50.898274578726493</v>
      </c>
      <c r="O74">
        <v>105.48178006710953</v>
      </c>
      <c r="P74">
        <v>66.642268843293351</v>
      </c>
      <c r="Q74">
        <v>61.821511795242934</v>
      </c>
      <c r="R74">
        <v>36.364397419058882</v>
      </c>
    </row>
    <row r="75" spans="1:18" x14ac:dyDescent="0.3">
      <c r="A75">
        <v>7.1999999999999904</v>
      </c>
      <c r="B75">
        <v>55.773091105393419</v>
      </c>
      <c r="C75">
        <v>48.594935215179312</v>
      </c>
      <c r="D75">
        <v>40.409199381017217</v>
      </c>
      <c r="E75">
        <v>40.409199381017217</v>
      </c>
      <c r="I75">
        <v>63.09947922400071</v>
      </c>
      <c r="J75">
        <v>59.06585249798939</v>
      </c>
      <c r="K75">
        <v>60.284454603431435</v>
      </c>
      <c r="L75">
        <v>60.782089829776687</v>
      </c>
      <c r="M75">
        <v>50.045227221201841</v>
      </c>
      <c r="N75">
        <v>48.71533971811521</v>
      </c>
      <c r="O75">
        <v>111.53865878992561</v>
      </c>
      <c r="P75">
        <v>69.699062803499459</v>
      </c>
      <c r="Q75">
        <v>60.017295822257779</v>
      </c>
      <c r="R75">
        <v>39.027582817979173</v>
      </c>
    </row>
    <row r="76" spans="1:18" x14ac:dyDescent="0.3">
      <c r="A76">
        <v>7.2999999999999901</v>
      </c>
      <c r="B76">
        <v>55.893802061831252</v>
      </c>
      <c r="C76">
        <v>48.966536550386884</v>
      </c>
      <c r="D76">
        <v>40.390214211345544</v>
      </c>
      <c r="E76">
        <v>40.390214211345544</v>
      </c>
      <c r="I76">
        <v>61.788487816156497</v>
      </c>
      <c r="J76">
        <v>58.852793927164733</v>
      </c>
      <c r="K76">
        <v>63.880748056706111</v>
      </c>
      <c r="L76">
        <v>56.024686954152678</v>
      </c>
      <c r="M76">
        <v>50.762619257172673</v>
      </c>
      <c r="N76">
        <v>47.504349114376055</v>
      </c>
      <c r="O76">
        <v>111.18885999594113</v>
      </c>
      <c r="P76">
        <v>74.87539132655975</v>
      </c>
      <c r="Q76">
        <v>58.976067789905514</v>
      </c>
      <c r="R76">
        <v>42.082437914535241</v>
      </c>
    </row>
    <row r="77" spans="1:18" x14ac:dyDescent="0.3">
      <c r="A77">
        <v>7.3999999999999897</v>
      </c>
      <c r="B77">
        <v>52.79754685165868</v>
      </c>
      <c r="C77">
        <v>51.97939775880738</v>
      </c>
      <c r="D77">
        <v>39.986297813011966</v>
      </c>
      <c r="E77">
        <v>39.986297813011966</v>
      </c>
      <c r="I77">
        <v>60.660514511132803</v>
      </c>
      <c r="J77">
        <v>62.382901163615756</v>
      </c>
      <c r="K77">
        <v>60.882735456196123</v>
      </c>
      <c r="L77">
        <v>57.889062229409831</v>
      </c>
      <c r="M77">
        <v>54.942214534630544</v>
      </c>
      <c r="N77">
        <v>45.10586197316043</v>
      </c>
      <c r="O77">
        <v>120.49395274516704</v>
      </c>
      <c r="P77">
        <v>78.078539389377383</v>
      </c>
      <c r="Q77">
        <v>56.223852141117042</v>
      </c>
      <c r="R77">
        <v>43.596090898365226</v>
      </c>
    </row>
    <row r="78" spans="1:18" x14ac:dyDescent="0.3">
      <c r="A78">
        <v>7.4999999999999893</v>
      </c>
      <c r="B78">
        <v>53.986801101372713</v>
      </c>
      <c r="C78">
        <v>51.335451548715781</v>
      </c>
      <c r="D78">
        <v>40.106889184297735</v>
      </c>
      <c r="E78">
        <v>40.106889184297735</v>
      </c>
      <c r="I78">
        <v>61.631886504872206</v>
      </c>
      <c r="J78">
        <v>60.823107838895467</v>
      </c>
      <c r="K78">
        <v>60.934917756828227</v>
      </c>
      <c r="L78">
        <v>60.483220546259552</v>
      </c>
      <c r="M78">
        <v>55.557826787737312</v>
      </c>
      <c r="N78">
        <v>47.260041098998606</v>
      </c>
      <c r="O78">
        <v>120.29282731629796</v>
      </c>
      <c r="P78">
        <v>88.627783301882573</v>
      </c>
      <c r="Q78">
        <v>57.977949935808482</v>
      </c>
      <c r="R78">
        <v>43.703040384799962</v>
      </c>
    </row>
    <row r="79" spans="1:18" x14ac:dyDescent="0.3">
      <c r="A79">
        <v>7.599999999999989</v>
      </c>
      <c r="B79">
        <v>55.041390230829158</v>
      </c>
      <c r="C79">
        <v>50.864560952323707</v>
      </c>
      <c r="D79">
        <v>40.205793997535658</v>
      </c>
      <c r="E79">
        <v>40.205793997535658</v>
      </c>
      <c r="I79">
        <v>62.433713719088864</v>
      </c>
      <c r="J79">
        <v>57.807879484790604</v>
      </c>
      <c r="K79">
        <v>63.521664289660947</v>
      </c>
      <c r="L79">
        <v>60.973224428731662</v>
      </c>
      <c r="M79">
        <v>55.500798567708316</v>
      </c>
      <c r="N79">
        <v>51.519429678954729</v>
      </c>
      <c r="O79">
        <v>130.35673542322397</v>
      </c>
      <c r="P79">
        <v>81.801570300607679</v>
      </c>
      <c r="Q79">
        <v>56.858765635742422</v>
      </c>
      <c r="R79">
        <v>44.69866780023127</v>
      </c>
    </row>
    <row r="80" spans="1:18" x14ac:dyDescent="0.3">
      <c r="A80">
        <v>7.6999999999999886</v>
      </c>
      <c r="B80">
        <v>54.37038987872716</v>
      </c>
      <c r="C80">
        <v>51.959456211235072</v>
      </c>
      <c r="D80">
        <v>40.089937016385221</v>
      </c>
      <c r="E80">
        <v>40.089937016385221</v>
      </c>
      <c r="I80">
        <v>63.944519403276679</v>
      </c>
      <c r="J80">
        <v>61.297628759443469</v>
      </c>
      <c r="K80">
        <v>64.288065796750828</v>
      </c>
      <c r="L80">
        <v>55.966968339823374</v>
      </c>
      <c r="M80">
        <v>54.540137500142492</v>
      </c>
      <c r="N80">
        <v>50.215400166383247</v>
      </c>
      <c r="O80">
        <v>137.95940743115526</v>
      </c>
      <c r="P80">
        <v>80.991173477617565</v>
      </c>
      <c r="Q80">
        <v>52.414197887206996</v>
      </c>
      <c r="R80">
        <v>45.871265636900624</v>
      </c>
    </row>
    <row r="81" spans="1:18" x14ac:dyDescent="0.3">
      <c r="A81">
        <v>7.7999999999999883</v>
      </c>
      <c r="B81">
        <v>50.434826792368746</v>
      </c>
      <c r="C81">
        <v>56.149941553422771</v>
      </c>
      <c r="D81">
        <v>39.565200016326642</v>
      </c>
      <c r="E81">
        <v>39.565200016326642</v>
      </c>
      <c r="I81">
        <v>64.988863875587938</v>
      </c>
      <c r="J81">
        <v>62.570523797693205</v>
      </c>
      <c r="K81">
        <v>64.316419708924371</v>
      </c>
      <c r="L81">
        <v>56.657569904137027</v>
      </c>
      <c r="M81">
        <v>55.174002303909084</v>
      </c>
      <c r="N81">
        <v>48.35739418694282</v>
      </c>
      <c r="O81">
        <v>138.70109218343282</v>
      </c>
      <c r="P81">
        <v>80.656689277219343</v>
      </c>
      <c r="Q81">
        <v>53.509502046251789</v>
      </c>
      <c r="R81">
        <v>46.596447954727246</v>
      </c>
    </row>
    <row r="82" spans="1:18" x14ac:dyDescent="0.3">
      <c r="A82">
        <v>7.8999999999999879</v>
      </c>
      <c r="B82">
        <v>50.681614159908257</v>
      </c>
      <c r="C82">
        <v>56.437019113096611</v>
      </c>
      <c r="D82">
        <v>39.564448043151977</v>
      </c>
      <c r="E82">
        <v>39.564448043151977</v>
      </c>
      <c r="I82">
        <v>68.138683972688582</v>
      </c>
      <c r="J82">
        <v>57.754545258984528</v>
      </c>
      <c r="K82">
        <v>64.459025083762796</v>
      </c>
      <c r="L82">
        <v>62.982728549760949</v>
      </c>
      <c r="M82">
        <v>56.641589706420696</v>
      </c>
      <c r="N82">
        <v>50.911354838526449</v>
      </c>
      <c r="O82">
        <v>131.54637747360397</v>
      </c>
      <c r="P82">
        <v>82.850108957259266</v>
      </c>
      <c r="Q82">
        <v>52.575238054402888</v>
      </c>
      <c r="R82">
        <v>44.170097059140424</v>
      </c>
    </row>
    <row r="83" spans="1:18" x14ac:dyDescent="0.3">
      <c r="A83">
        <v>7.9999999999999876</v>
      </c>
      <c r="B83">
        <v>48.952916984764585</v>
      </c>
      <c r="C83">
        <v>59.04835257689296</v>
      </c>
      <c r="D83">
        <v>39.289771825865003</v>
      </c>
      <c r="E83">
        <v>39.289771825865003</v>
      </c>
      <c r="I83">
        <v>69.719060508952168</v>
      </c>
      <c r="J83">
        <v>56.52808956790529</v>
      </c>
      <c r="K83">
        <v>68.10136699979428</v>
      </c>
      <c r="L83">
        <v>62.631609548613632</v>
      </c>
      <c r="M83">
        <v>58.907067113952039</v>
      </c>
      <c r="N83">
        <v>52.427003135733813</v>
      </c>
      <c r="O83">
        <v>148.72314661418378</v>
      </c>
      <c r="P83">
        <v>74.2719831487276</v>
      </c>
      <c r="Q83">
        <v>54.889678870471663</v>
      </c>
      <c r="R83">
        <v>47.876280428158857</v>
      </c>
    </row>
    <row r="84" spans="1:18" x14ac:dyDescent="0.3">
      <c r="A84">
        <v>8.0999999999999872</v>
      </c>
      <c r="B84">
        <v>48.317485205309524</v>
      </c>
      <c r="C84">
        <v>60.509661019105039</v>
      </c>
      <c r="D84">
        <v>39.161278162358848</v>
      </c>
      <c r="E84">
        <v>39.161278162358848</v>
      </c>
      <c r="I84">
        <v>79.521813059871207</v>
      </c>
      <c r="J84">
        <v>57.857681521115055</v>
      </c>
      <c r="K84">
        <v>60.620191590811714</v>
      </c>
      <c r="L84">
        <v>68.453881701611309</v>
      </c>
      <c r="M84">
        <v>56.547475663456083</v>
      </c>
      <c r="N84">
        <v>47.930757859630717</v>
      </c>
      <c r="O84">
        <v>155.59665091087894</v>
      </c>
      <c r="P84">
        <v>79.526130815802262</v>
      </c>
      <c r="Q84">
        <v>55.064375463098379</v>
      </c>
      <c r="R84">
        <v>48.416351152852059</v>
      </c>
    </row>
    <row r="85" spans="1:18" x14ac:dyDescent="0.3">
      <c r="A85">
        <v>8.1999999999999869</v>
      </c>
      <c r="B85">
        <v>49.908290929029334</v>
      </c>
      <c r="C85">
        <v>58.9213343291011</v>
      </c>
      <c r="D85">
        <v>39.3621392190704</v>
      </c>
      <c r="E85">
        <v>39.3621392190704</v>
      </c>
      <c r="I85">
        <v>78.931884592865899</v>
      </c>
      <c r="J85">
        <v>56.89706135846135</v>
      </c>
      <c r="K85">
        <v>62.096699597208044</v>
      </c>
      <c r="L85">
        <v>67.813569234199633</v>
      </c>
      <c r="M85">
        <v>57.435215358302862</v>
      </c>
      <c r="N85">
        <v>49.179338031325763</v>
      </c>
      <c r="O85">
        <v>143.00473157051917</v>
      </c>
      <c r="P85">
        <v>74.742357075275407</v>
      </c>
      <c r="Q85">
        <v>55.193804957613139</v>
      </c>
      <c r="R85">
        <v>48.544627295158811</v>
      </c>
    </row>
    <row r="86" spans="1:18" x14ac:dyDescent="0.3">
      <c r="A86">
        <v>8.2999999999999865</v>
      </c>
      <c r="B86">
        <v>49.273487061469105</v>
      </c>
      <c r="C86">
        <v>60.350355309581843</v>
      </c>
      <c r="D86">
        <v>39.236729024913878</v>
      </c>
      <c r="E86">
        <v>39.236729024913878</v>
      </c>
      <c r="I86">
        <v>73.379380436361743</v>
      </c>
      <c r="J86">
        <v>60.006666765052472</v>
      </c>
      <c r="K86">
        <v>60.507376100021439</v>
      </c>
      <c r="L86">
        <v>75.397441784974205</v>
      </c>
      <c r="M86">
        <v>52.437109555831185</v>
      </c>
      <c r="N86">
        <v>49.563283407959503</v>
      </c>
      <c r="O86">
        <v>149.08547604928333</v>
      </c>
      <c r="P86">
        <v>69.797700759130436</v>
      </c>
      <c r="Q86">
        <v>56.804161660528933</v>
      </c>
      <c r="R86">
        <v>46.79023489669396</v>
      </c>
    </row>
    <row r="87" spans="1:18" x14ac:dyDescent="0.3">
      <c r="A87">
        <v>8.3999999999999861</v>
      </c>
      <c r="B87">
        <v>47.265783234274863</v>
      </c>
      <c r="C87">
        <v>63.707502636904515</v>
      </c>
      <c r="D87">
        <v>38.910879044503091</v>
      </c>
      <c r="E87">
        <v>38.910879044503091</v>
      </c>
      <c r="I87">
        <v>75.69117140069261</v>
      </c>
      <c r="J87">
        <v>56.628272279438391</v>
      </c>
      <c r="K87">
        <v>62.100583617241739</v>
      </c>
      <c r="L87">
        <v>73.553602987392892</v>
      </c>
      <c r="M87">
        <v>50.147088721671224</v>
      </c>
      <c r="N87">
        <v>46.746329414038861</v>
      </c>
      <c r="O87">
        <v>138.71363784344371</v>
      </c>
      <c r="P87">
        <v>67.278042720866068</v>
      </c>
      <c r="Q87">
        <v>58.66655035333752</v>
      </c>
      <c r="R87">
        <v>45.530017816190231</v>
      </c>
    </row>
    <row r="88" spans="1:18" x14ac:dyDescent="0.3">
      <c r="A88">
        <v>8.4999999999999858</v>
      </c>
      <c r="B88">
        <v>48.454902113164273</v>
      </c>
      <c r="C88">
        <v>62.535091259092873</v>
      </c>
      <c r="D88">
        <v>39.057483405500307</v>
      </c>
      <c r="E88">
        <v>39.057483405500307</v>
      </c>
      <c r="I88">
        <v>83.414720947057944</v>
      </c>
      <c r="J88">
        <v>57.451011652261272</v>
      </c>
      <c r="K88">
        <v>60.414625078361965</v>
      </c>
      <c r="L88">
        <v>78.840313047960464</v>
      </c>
      <c r="M88">
        <v>49.209750622936532</v>
      </c>
      <c r="N88">
        <v>41.399730445139518</v>
      </c>
      <c r="O88">
        <v>137.06023453362675</v>
      </c>
      <c r="P88">
        <v>63.14971519404822</v>
      </c>
      <c r="Q88">
        <v>58.305428274056162</v>
      </c>
      <c r="R88">
        <v>44.057898986503929</v>
      </c>
    </row>
    <row r="89" spans="1:18" x14ac:dyDescent="0.3">
      <c r="A89">
        <v>8.5999999999999854</v>
      </c>
      <c r="B89">
        <v>52.036729937837073</v>
      </c>
      <c r="C89">
        <v>57.951472772764951</v>
      </c>
      <c r="D89">
        <v>39.552536528561816</v>
      </c>
      <c r="E89">
        <v>39.552536528561816</v>
      </c>
      <c r="I89">
        <v>94.813652722529284</v>
      </c>
      <c r="J89">
        <v>54.305400264666822</v>
      </c>
      <c r="K89">
        <v>63.826206688846788</v>
      </c>
      <c r="L89">
        <v>74.727651340234203</v>
      </c>
      <c r="M89">
        <v>48.461940922460585</v>
      </c>
      <c r="N89">
        <v>39.978826181759842</v>
      </c>
      <c r="O89">
        <v>129.7324331041857</v>
      </c>
      <c r="P89">
        <v>68.183834072821142</v>
      </c>
      <c r="Q89">
        <v>61.281868513575979</v>
      </c>
      <c r="R89">
        <v>41.765630183823021</v>
      </c>
    </row>
    <row r="90" spans="1:18" x14ac:dyDescent="0.3">
      <c r="A90">
        <v>8.6999999999999851</v>
      </c>
      <c r="B90">
        <v>53.436578981721652</v>
      </c>
      <c r="C90">
        <v>56.901833876656305</v>
      </c>
      <c r="D90">
        <v>39.704340233075683</v>
      </c>
      <c r="E90">
        <v>39.704340233075683</v>
      </c>
      <c r="I90">
        <v>95.284885220901657</v>
      </c>
      <c r="J90">
        <v>52.056180469206822</v>
      </c>
      <c r="K90">
        <v>63.448256590012015</v>
      </c>
      <c r="L90">
        <v>74.900643734517843</v>
      </c>
      <c r="M90">
        <v>50.561219119716561</v>
      </c>
      <c r="N90">
        <v>38.128312111041282</v>
      </c>
      <c r="O90">
        <v>130.88333435385584</v>
      </c>
      <c r="P90">
        <v>69.172959723657868</v>
      </c>
      <c r="Q90">
        <v>65.580087824421213</v>
      </c>
      <c r="R90">
        <v>41.334342284234495</v>
      </c>
    </row>
    <row r="91" spans="1:18" x14ac:dyDescent="0.3">
      <c r="A91">
        <v>8.7999999999999847</v>
      </c>
      <c r="B91">
        <v>51.020034922960484</v>
      </c>
      <c r="C91">
        <v>60.135308961542599</v>
      </c>
      <c r="D91">
        <v>39.360821549986369</v>
      </c>
      <c r="E91">
        <v>39.360821549986369</v>
      </c>
      <c r="I91">
        <v>89.725889666691685</v>
      </c>
      <c r="J91">
        <v>48.776950528967298</v>
      </c>
      <c r="K91">
        <v>62.273779979696307</v>
      </c>
      <c r="L91">
        <v>72.31501918770978</v>
      </c>
      <c r="M91">
        <v>49.307109650168492</v>
      </c>
      <c r="N91">
        <v>39.746654930874939</v>
      </c>
      <c r="O91">
        <v>139.94844369621507</v>
      </c>
      <c r="P91">
        <v>71.923145924903039</v>
      </c>
      <c r="Q91">
        <v>65.732896267067744</v>
      </c>
      <c r="R91">
        <v>38.969664818482705</v>
      </c>
    </row>
    <row r="92" spans="1:18" x14ac:dyDescent="0.3">
      <c r="A92">
        <v>8.8999999999999844</v>
      </c>
      <c r="B92">
        <v>53.88439985529434</v>
      </c>
      <c r="C92">
        <v>57.097101428830399</v>
      </c>
      <c r="D92">
        <v>39.718816603112813</v>
      </c>
      <c r="E92">
        <v>39.718816603112813</v>
      </c>
      <c r="I92">
        <v>89.96579242269128</v>
      </c>
      <c r="J92">
        <v>43.325897938322335</v>
      </c>
      <c r="K92">
        <v>64.429526581704721</v>
      </c>
      <c r="L92">
        <v>75.634921399237768</v>
      </c>
      <c r="M92">
        <v>46.201990713539892</v>
      </c>
      <c r="N92">
        <v>41.888693992809792</v>
      </c>
      <c r="O92">
        <v>146.0664775854294</v>
      </c>
      <c r="P92">
        <v>77.753391751033234</v>
      </c>
      <c r="Q92">
        <v>66.654941931601442</v>
      </c>
      <c r="R92">
        <v>40.594527186831598</v>
      </c>
    </row>
    <row r="93" spans="1:18" x14ac:dyDescent="0.3">
      <c r="A93">
        <v>8.999999999999984</v>
      </c>
      <c r="B93">
        <v>56.528396180956491</v>
      </c>
      <c r="C93">
        <v>54.792512264010142</v>
      </c>
      <c r="D93">
        <v>40.018982395147304</v>
      </c>
      <c r="E93">
        <v>40.018982395147304</v>
      </c>
      <c r="I93">
        <v>93.559386977068954</v>
      </c>
      <c r="J93">
        <v>43.708233987338147</v>
      </c>
      <c r="K93">
        <v>66.337306285103011</v>
      </c>
      <c r="L93">
        <v>77.299787541577672</v>
      </c>
      <c r="M93">
        <v>44.15554371850979</v>
      </c>
      <c r="N93">
        <v>41.191688784204274</v>
      </c>
      <c r="O93">
        <v>150.50686102366251</v>
      </c>
      <c r="P93">
        <v>84.491243369569261</v>
      </c>
      <c r="Q93">
        <v>65.295669006845131</v>
      </c>
      <c r="R93">
        <v>39.074833896821211</v>
      </c>
    </row>
  </sheetData>
  <mergeCells count="2">
    <mergeCell ref="A1:E1"/>
    <mergeCell ref="I1:R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634B-7EF1-42BE-96E6-71F4B7F8596C}">
  <sheetPr codeName="Sheet4"/>
  <dimension ref="A1:E8"/>
  <sheetViews>
    <sheetView workbookViewId="0">
      <selection sqref="A1:E1"/>
    </sheetView>
  </sheetViews>
  <sheetFormatPr defaultRowHeight="14.4" x14ac:dyDescent="0.3"/>
  <cols>
    <col min="2" max="2" width="11.33203125" customWidth="1"/>
    <col min="4" max="4" width="12.5546875" customWidth="1"/>
  </cols>
  <sheetData>
    <row r="1" spans="1:5" x14ac:dyDescent="0.3">
      <c r="A1" s="29" t="s">
        <v>13</v>
      </c>
      <c r="B1" s="29"/>
      <c r="C1" s="29"/>
      <c r="D1" s="29"/>
      <c r="E1" s="29"/>
    </row>
    <row r="2" spans="1:5" x14ac:dyDescent="0.3">
      <c r="A2" s="1" t="s">
        <v>14</v>
      </c>
      <c r="B2" s="1" t="s">
        <v>34</v>
      </c>
      <c r="C2" s="1" t="s">
        <v>30</v>
      </c>
      <c r="D2" s="1" t="s">
        <v>35</v>
      </c>
      <c r="E2" s="1" t="s">
        <v>15</v>
      </c>
    </row>
    <row r="3" spans="1:5" x14ac:dyDescent="0.3">
      <c r="A3" t="s">
        <v>18</v>
      </c>
      <c r="B3">
        <v>4.5507037638973431</v>
      </c>
      <c r="C3">
        <v>5.0109734703821838</v>
      </c>
      <c r="D3">
        <v>5.4712431768670244</v>
      </c>
      <c r="E3">
        <v>1.6000000759959221E-2</v>
      </c>
    </row>
    <row r="4" spans="1:5" x14ac:dyDescent="0.3">
      <c r="A4" t="s">
        <v>19</v>
      </c>
      <c r="B4">
        <v>4.7408387520874973</v>
      </c>
      <c r="C4">
        <v>4.9535104317412069</v>
      </c>
      <c r="D4">
        <v>5.1661821113949165</v>
      </c>
      <c r="E4">
        <v>0.15199999511241913</v>
      </c>
    </row>
    <row r="5" spans="1:5" x14ac:dyDescent="0.3">
      <c r="A5" t="s">
        <v>20</v>
      </c>
      <c r="B5">
        <v>4.7566546967000614</v>
      </c>
      <c r="C5">
        <v>5.0755735018700534</v>
      </c>
      <c r="D5">
        <v>5.3944923070400455</v>
      </c>
      <c r="E5">
        <v>6.1999998986721039E-2</v>
      </c>
    </row>
    <row r="6" spans="1:5" x14ac:dyDescent="0.3">
      <c r="A6" t="s">
        <v>16</v>
      </c>
      <c r="B6">
        <v>4.7598193958997399</v>
      </c>
      <c r="C6">
        <v>5.1212929370562676</v>
      </c>
      <c r="D6">
        <v>5.4827664782127954</v>
      </c>
      <c r="E6">
        <v>5.4999999701976776E-2</v>
      </c>
    </row>
    <row r="7" spans="1:5" x14ac:dyDescent="0.3">
      <c r="A7" t="s">
        <v>17</v>
      </c>
      <c r="B7">
        <v>4.3809400382845993</v>
      </c>
      <c r="C7">
        <v>4.6642496827461875</v>
      </c>
      <c r="D7">
        <v>4.9475593272077756</v>
      </c>
      <c r="E7">
        <v>4.6999998390674591E-2</v>
      </c>
    </row>
    <row r="8" spans="1:5" x14ac:dyDescent="0.3">
      <c r="A8" t="s">
        <v>21</v>
      </c>
      <c r="B8">
        <v>4.9910983515531235</v>
      </c>
      <c r="C8">
        <v>5.469902483951202</v>
      </c>
      <c r="D8">
        <v>5.9487066163492806</v>
      </c>
      <c r="E8">
        <v>3.0999999493360519E-2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Dashboard</vt:lpstr>
      <vt:lpstr>trajectoires</vt:lpstr>
      <vt:lpstr>IC</vt:lpstr>
      <vt:lpstr>K_</vt:lpstr>
      <vt:lpstr>n</vt:lpstr>
      <vt:lpstr>n_</vt:lpstr>
      <vt:lpstr>Nd_</vt:lpstr>
      <vt:lpstr>nt_</vt:lpstr>
      <vt:lpstr>Dashboard!parametres</vt:lpstr>
      <vt:lpstr>r_</vt:lpstr>
      <vt:lpstr>Dashboard!S_0</vt:lpstr>
      <vt:lpstr>S0_</vt:lpstr>
      <vt:lpstr>sigma_</vt:lpstr>
      <vt:lpstr>T_</vt:lpstr>
      <vt:lpstr>t0_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Mini-Projet 3</dc:title>
  <dc:creator>Valentin DeBilly;Matthias Lang;Bruno Deutsch</dc:creator>
  <cp:lastModifiedBy>test</cp:lastModifiedBy>
  <dcterms:created xsi:type="dcterms:W3CDTF">2021-11-06T17:46:45Z</dcterms:created>
  <dcterms:modified xsi:type="dcterms:W3CDTF">2022-01-11T12:36:28Z</dcterms:modified>
</cp:coreProperties>
</file>