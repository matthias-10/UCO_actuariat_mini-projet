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UCO_actuariat_mini-projet\"/>
    </mc:Choice>
  </mc:AlternateContent>
  <xr:revisionPtr revIDLastSave="0" documentId="13_ncr:1_{34F18EB9-EC97-48C9-99C0-EB604B3884BE}" xr6:coauthVersionLast="47" xr6:coauthVersionMax="47" xr10:uidLastSave="{00000000-0000-0000-0000-000000000000}"/>
  <bookViews>
    <workbookView xWindow="-108" yWindow="-108" windowWidth="23256" windowHeight="12576" xr2:uid="{37BB51FA-B421-40C2-8C75-36C11962CC14}"/>
  </bookViews>
  <sheets>
    <sheet name="Dashboard" sheetId="3" r:id="rId1"/>
    <sheet name="trajectoires" sheetId="2" r:id="rId2"/>
    <sheet name="IC" sheetId="4" r:id="rId3"/>
  </sheets>
  <functionGroups builtInGroupCount="19"/>
  <definedNames>
    <definedName name="K_">Dashboard!$C$6</definedName>
    <definedName name="n">Dashboard!$C$10</definedName>
    <definedName name="n_">Dashboard!$C$10</definedName>
    <definedName name="Nd_">Dashboard!$C$13</definedName>
    <definedName name="nt_">Dashboard!$C$14</definedName>
    <definedName name="parametres" localSheetId="0">Dashboard!$A$1:$B$9</definedName>
    <definedName name="parametres">#REF!</definedName>
    <definedName name="r_">Dashboard!$C$7</definedName>
    <definedName name="S_0" localSheetId="0">Dashboard!$A$2</definedName>
    <definedName name="S_0">#REF!</definedName>
    <definedName name="S0_">Dashboard!$C$5</definedName>
    <definedName name="sigma_">Dashboard!$C$8</definedName>
    <definedName name="T_">Dashboard!$C$11</definedName>
    <definedName name="t0_">Dashboard!$C$9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O4" i="3"/>
  <c r="P4" i="3"/>
  <c r="Q4" i="3"/>
  <c r="N5" i="3"/>
  <c r="O5" i="3"/>
  <c r="P5" i="3"/>
  <c r="Q5" i="3"/>
  <c r="N6" i="3"/>
  <c r="O6" i="3"/>
  <c r="P6" i="3"/>
  <c r="Q6" i="3"/>
  <c r="N7" i="3"/>
  <c r="O7" i="3"/>
  <c r="P7" i="3"/>
  <c r="Q7" i="3"/>
  <c r="N8" i="3"/>
  <c r="O8" i="3"/>
  <c r="P8" i="3"/>
  <c r="Q8" i="3"/>
  <c r="N9" i="3"/>
  <c r="O9" i="3"/>
  <c r="P9" i="3"/>
  <c r="Q9" i="3"/>
  <c r="N10" i="3"/>
  <c r="O10" i="3"/>
  <c r="P10" i="3"/>
  <c r="Q10" i="3"/>
  <c r="N11" i="3"/>
  <c r="O11" i="3"/>
  <c r="P11" i="3"/>
  <c r="Q11" i="3"/>
  <c r="N12" i="3"/>
  <c r="O12" i="3"/>
  <c r="P12" i="3"/>
  <c r="Q12" i="3"/>
  <c r="N13" i="3"/>
  <c r="O13" i="3"/>
  <c r="P13" i="3"/>
  <c r="Q13" i="3"/>
  <c r="N14" i="3"/>
  <c r="O14" i="3"/>
  <c r="P14" i="3"/>
  <c r="Q14" i="3"/>
  <c r="M5" i="3"/>
  <c r="M6" i="3"/>
  <c r="M7" i="3"/>
  <c r="M8" i="3"/>
  <c r="M9" i="3"/>
  <c r="M10" i="3"/>
  <c r="M11" i="3"/>
  <c r="M12" i="3"/>
  <c r="M13" i="3"/>
  <c r="M14" i="3"/>
  <c r="M4" i="3"/>
  <c r="O23" i="3"/>
  <c r="N19" i="3"/>
  <c r="O19" i="3"/>
  <c r="P19" i="3"/>
  <c r="Q19" i="3"/>
  <c r="N20" i="3"/>
  <c r="O20" i="3"/>
  <c r="P20" i="3"/>
  <c r="Q20" i="3"/>
  <c r="N21" i="3"/>
  <c r="O21" i="3"/>
  <c r="P21" i="3"/>
  <c r="Q21" i="3"/>
  <c r="N22" i="3"/>
  <c r="Q22" i="3"/>
  <c r="N23" i="3"/>
  <c r="Q23" i="3"/>
  <c r="P18" i="3"/>
  <c r="Q18" i="3"/>
  <c r="O18" i="3"/>
  <c r="N18" i="3"/>
  <c r="P23" i="3" l="1"/>
  <c r="P22" i="3"/>
  <c r="O22" i="3"/>
</calcChain>
</file>

<file path=xl/sharedStrings.xml><?xml version="1.0" encoding="utf-8"?>
<sst xmlns="http://schemas.openxmlformats.org/spreadsheetml/2006/main" count="51" uniqueCount="46">
  <si>
    <t>Les paramètres:</t>
  </si>
  <si>
    <t>r</t>
  </si>
  <si>
    <t>sigma</t>
  </si>
  <si>
    <t>T</t>
  </si>
  <si>
    <t>n</t>
  </si>
  <si>
    <t>nt</t>
  </si>
  <si>
    <t>S0</t>
  </si>
  <si>
    <t>Nd</t>
  </si>
  <si>
    <t>t</t>
  </si>
  <si>
    <t>K</t>
  </si>
  <si>
    <t>une série</t>
  </si>
  <si>
    <t>Les estimateurs:</t>
  </si>
  <si>
    <t>largeur IC</t>
  </si>
  <si>
    <t>Les IC</t>
  </si>
  <si>
    <t>ID</t>
  </si>
  <si>
    <t>temps</t>
  </si>
  <si>
    <t>VC_1</t>
  </si>
  <si>
    <t>VC_2</t>
  </si>
  <si>
    <t>bas</t>
  </si>
  <si>
    <t>haut</t>
  </si>
  <si>
    <t>C_inf</t>
  </si>
  <si>
    <t>C_5nt</t>
  </si>
  <si>
    <t>C_anti</t>
  </si>
  <si>
    <t>C_N</t>
  </si>
  <si>
    <t>S</t>
  </si>
  <si>
    <t>S_anti</t>
  </si>
  <si>
    <t>REF pour défiler le tableau</t>
  </si>
  <si>
    <t>a faire:</t>
  </si>
  <si>
    <t>VC: euopäische Variable ohne sqrt(S)</t>
  </si>
  <si>
    <t>VC: einfach error-terms addiert</t>
  </si>
  <si>
    <t>loop affichage gucken</t>
  </si>
  <si>
    <t>C_anti warum so hohe Zeit?</t>
  </si>
  <si>
    <t>10 trajectoires illustratives:</t>
  </si>
  <si>
    <t>Exemple des séries:</t>
  </si>
  <si>
    <t>estimateur</t>
  </si>
  <si>
    <t>C_anti warum so großer IC?</t>
  </si>
  <si>
    <t>Data Validation</t>
  </si>
  <si>
    <t>Text links unten Box</t>
  </si>
  <si>
    <t>durée</t>
  </si>
  <si>
    <t>séries antith.</t>
  </si>
  <si>
    <t>Saisir ici:</t>
  </si>
  <si>
    <t>est.</t>
  </si>
  <si>
    <t>am Ende Protect, Protect Shee, Allow Edit Range, Formatting</t>
  </si>
  <si>
    <t>hide formula bar</t>
  </si>
  <si>
    <t>Les trajectoires du graphique</t>
  </si>
  <si>
    <t>le tableau des séries exemplaires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</si>
</sst>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i/>
      <sz val="11"/>
      <color theme="4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2" borderId="0" xfId="0" applyFill="1" applyBorder="1"/>
    <xf numFmtId="0" fontId="0" fillId="2" borderId="0" xfId="0" quotePrefix="1" applyFill="1" applyBorder="1"/>
    <xf numFmtId="0" fontId="0" fillId="3" borderId="0" xfId="0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right"/>
    </xf>
    <xf numFmtId="0" fontId="1" fillId="3" borderId="0" xfId="0" applyFont="1" applyFill="1" applyBorder="1"/>
    <xf numFmtId="164" fontId="0" fillId="3" borderId="0" xfId="0" applyNumberFormat="1" applyFill="1" applyBorder="1"/>
    <xf numFmtId="165" fontId="0" fillId="3" borderId="0" xfId="0" applyNumberFormat="1" applyFill="1" applyBorder="1"/>
    <xf numFmtId="0" fontId="0" fillId="2" borderId="0" xfId="0" applyFill="1" applyBorder="1" applyAlignment="1">
      <alignment vertical="top"/>
    </xf>
    <xf numFmtId="2" fontId="0" fillId="3" borderId="0" xfId="0" applyNumberFormat="1" applyFont="1" applyFill="1" applyBorder="1"/>
    <xf numFmtId="164" fontId="0" fillId="3" borderId="0" xfId="0" applyNumberFormat="1" applyFill="1" applyBorder="1" applyAlignment="1">
      <alignment horizontal="center"/>
    </xf>
    <xf numFmtId="0" fontId="5" fillId="3" borderId="0" xfId="0" applyFont="1" applyFill="1" applyBorder="1"/>
    <xf numFmtId="0" fontId="2" fillId="3" borderId="0" xfId="0" applyFont="1" applyFill="1" applyBorder="1" applyAlignmen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6" fillId="3" borderId="0" xfId="0" applyFont="1" applyFill="1" applyBorder="1"/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top" wrapText="1"/>
    </xf>
    <xf numFmtId="0" fontId="1" fillId="5" borderId="0" xfId="0" applyFont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7" fillId="3" borderId="0" xfId="0" applyFont="1" applyFill="1" applyBorder="1" applyAlignment="1">
      <alignment horizontal="right"/>
    </xf>
    <xf numFmtId="164" fontId="8" fillId="3" borderId="0" xfId="0" applyNumberFormat="1" applyFont="1" applyFill="1" applyBorder="1" applyAlignment="1">
      <alignment horizontal="center"/>
    </xf>
    <xf numFmtId="165" fontId="8" fillId="3" borderId="0" xfId="0" applyNumberFormat="1" applyFont="1" applyFill="1" applyBorder="1"/>
    <xf numFmtId="164" fontId="8" fillId="3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Dashboard!$I$3:$I$51</c:f>
              <c:numCache>
                <c:formatCode>General</c:formatCode>
                <c:ptCount val="49"/>
              </c:numCache>
            </c:numRef>
          </c:cat>
          <c:val>
            <c:numRef>
              <c:f>trajectoires!$I$3:$I$53</c:f>
              <c:numCache>
                <c:formatCode>General</c:formatCode>
                <c:ptCount val="51"/>
                <c:pt idx="0">
                  <c:v>40</c:v>
                </c:pt>
                <c:pt idx="1">
                  <c:v>39.910383876648346</c:v>
                </c:pt>
                <c:pt idx="2">
                  <c:v>40.000555774997181</c:v>
                </c:pt>
                <c:pt idx="3">
                  <c:v>40.283549233073963</c:v>
                </c:pt>
                <c:pt idx="4">
                  <c:v>40.825116821626686</c:v>
                </c:pt>
                <c:pt idx="5">
                  <c:v>40.683713724511072</c:v>
                </c:pt>
                <c:pt idx="6">
                  <c:v>40.431360209158136</c:v>
                </c:pt>
                <c:pt idx="7">
                  <c:v>40.371443029546384</c:v>
                </c:pt>
                <c:pt idx="8">
                  <c:v>40.835567922272979</c:v>
                </c:pt>
                <c:pt idx="9">
                  <c:v>41.19704013500705</c:v>
                </c:pt>
                <c:pt idx="10">
                  <c:v>40.870812166139359</c:v>
                </c:pt>
                <c:pt idx="11">
                  <c:v>41.157159598879495</c:v>
                </c:pt>
                <c:pt idx="12">
                  <c:v>40.70685113550293</c:v>
                </c:pt>
                <c:pt idx="13">
                  <c:v>41.197525162212806</c:v>
                </c:pt>
                <c:pt idx="14">
                  <c:v>41.564363506013585</c:v>
                </c:pt>
                <c:pt idx="15">
                  <c:v>42.276003824199918</c:v>
                </c:pt>
                <c:pt idx="16">
                  <c:v>42.390637443535411</c:v>
                </c:pt>
                <c:pt idx="17">
                  <c:v>42.556290648348011</c:v>
                </c:pt>
                <c:pt idx="18">
                  <c:v>42.447957079809733</c:v>
                </c:pt>
                <c:pt idx="19">
                  <c:v>42.973103559104139</c:v>
                </c:pt>
                <c:pt idx="20">
                  <c:v>43.422251822973152</c:v>
                </c:pt>
                <c:pt idx="21">
                  <c:v>43.363317145864983</c:v>
                </c:pt>
                <c:pt idx="22">
                  <c:v>43.364891048817746</c:v>
                </c:pt>
                <c:pt idx="23">
                  <c:v>44.540815571204753</c:v>
                </c:pt>
                <c:pt idx="24">
                  <c:v>45.090158378350878</c:v>
                </c:pt>
                <c:pt idx="25">
                  <c:v>44.739031786653939</c:v>
                </c:pt>
                <c:pt idx="26">
                  <c:v>44.670116305823868</c:v>
                </c:pt>
                <c:pt idx="27">
                  <c:v>44.059706913342367</c:v>
                </c:pt>
                <c:pt idx="28">
                  <c:v>44.848616097595944</c:v>
                </c:pt>
                <c:pt idx="29">
                  <c:v>45.24540216333795</c:v>
                </c:pt>
                <c:pt idx="30">
                  <c:v>45.883786377280977</c:v>
                </c:pt>
                <c:pt idx="31">
                  <c:v>44.844721034743969</c:v>
                </c:pt>
                <c:pt idx="32">
                  <c:v>44.293454599245386</c:v>
                </c:pt>
                <c:pt idx="33">
                  <c:v>44.126948365428696</c:v>
                </c:pt>
                <c:pt idx="34">
                  <c:v>44.429151692798364</c:v>
                </c:pt>
                <c:pt idx="35">
                  <c:v>44.345108282175083</c:v>
                </c:pt>
                <c:pt idx="36">
                  <c:v>44.032046846485102</c:v>
                </c:pt>
                <c:pt idx="37">
                  <c:v>44.3824225591678</c:v>
                </c:pt>
                <c:pt idx="38">
                  <c:v>44.184911806859191</c:v>
                </c:pt>
                <c:pt idx="39">
                  <c:v>44.81613324330754</c:v>
                </c:pt>
                <c:pt idx="40">
                  <c:v>45.41931238818924</c:v>
                </c:pt>
                <c:pt idx="41">
                  <c:v>44.692245069048901</c:v>
                </c:pt>
                <c:pt idx="42">
                  <c:v>45.337882922298398</c:v>
                </c:pt>
                <c:pt idx="43">
                  <c:v>45.944272071488491</c:v>
                </c:pt>
                <c:pt idx="44">
                  <c:v>45.574401049001935</c:v>
                </c:pt>
                <c:pt idx="45">
                  <c:v>45.307590966530533</c:v>
                </c:pt>
                <c:pt idx="46">
                  <c:v>44.753908601553469</c:v>
                </c:pt>
                <c:pt idx="47">
                  <c:v>44.906591344392538</c:v>
                </c:pt>
                <c:pt idx="48">
                  <c:v>44.689451784330977</c:v>
                </c:pt>
                <c:pt idx="49">
                  <c:v>44.912770609160781</c:v>
                </c:pt>
                <c:pt idx="50">
                  <c:v>45.115349731413453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7-484C-B33D-361DF00D8BAC}"/>
            </c:ext>
          </c:extLst>
        </c:ser>
        <c:ser>
          <c:idx val="1"/>
          <c:order val="1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trajectoires!$J$3:$J$53</c:f>
              <c:numCache>
                <c:formatCode>General</c:formatCode>
                <c:ptCount val="51"/>
                <c:pt idx="0">
                  <c:v>40</c:v>
                </c:pt>
                <c:pt idx="1">
                  <c:v>40.015298276996198</c:v>
                </c:pt>
                <c:pt idx="2">
                  <c:v>39.700702177600824</c:v>
                </c:pt>
                <c:pt idx="3">
                  <c:v>40.010914234541062</c:v>
                </c:pt>
                <c:pt idx="4">
                  <c:v>40.093582736417474</c:v>
                </c:pt>
                <c:pt idx="5">
                  <c:v>40.540633054870327</c:v>
                </c:pt>
                <c:pt idx="6">
                  <c:v>39.982959601681813</c:v>
                </c:pt>
                <c:pt idx="7">
                  <c:v>40.27815639197253</c:v>
                </c:pt>
                <c:pt idx="8">
                  <c:v>40.462892452392417</c:v>
                </c:pt>
                <c:pt idx="9">
                  <c:v>40.251763660058394</c:v>
                </c:pt>
                <c:pt idx="10">
                  <c:v>40.919518672731044</c:v>
                </c:pt>
                <c:pt idx="11">
                  <c:v>41.457075135077481</c:v>
                </c:pt>
                <c:pt idx="12">
                  <c:v>41.279035262624674</c:v>
                </c:pt>
                <c:pt idx="13">
                  <c:v>41.857871643468421</c:v>
                </c:pt>
                <c:pt idx="14">
                  <c:v>42.101039761645985</c:v>
                </c:pt>
                <c:pt idx="15">
                  <c:v>42.555731242393456</c:v>
                </c:pt>
                <c:pt idx="16">
                  <c:v>41.752733768102921</c:v>
                </c:pt>
                <c:pt idx="17">
                  <c:v>41.266782198634203</c:v>
                </c:pt>
                <c:pt idx="18">
                  <c:v>41.210879653507902</c:v>
                </c:pt>
                <c:pt idx="19">
                  <c:v>42.130804803116021</c:v>
                </c:pt>
                <c:pt idx="20">
                  <c:v>42.200247463023153</c:v>
                </c:pt>
                <c:pt idx="21">
                  <c:v>42.824230430220453</c:v>
                </c:pt>
                <c:pt idx="22">
                  <c:v>43.430091712875949</c:v>
                </c:pt>
                <c:pt idx="23">
                  <c:v>43.414472318408713</c:v>
                </c:pt>
                <c:pt idx="24">
                  <c:v>43.125225905905701</c:v>
                </c:pt>
                <c:pt idx="25">
                  <c:v>42.586251397237675</c:v>
                </c:pt>
                <c:pt idx="26">
                  <c:v>42.75419160792471</c:v>
                </c:pt>
                <c:pt idx="27">
                  <c:v>42.65404261601708</c:v>
                </c:pt>
                <c:pt idx="28">
                  <c:v>42.376495974911208</c:v>
                </c:pt>
                <c:pt idx="29">
                  <c:v>42.723146251368824</c:v>
                </c:pt>
                <c:pt idx="30">
                  <c:v>43.253777422863401</c:v>
                </c:pt>
                <c:pt idx="31">
                  <c:v>43.403710851504215</c:v>
                </c:pt>
                <c:pt idx="32">
                  <c:v>43.377399860255998</c:v>
                </c:pt>
                <c:pt idx="33">
                  <c:v>42.934260665849216</c:v>
                </c:pt>
                <c:pt idx="34">
                  <c:v>43.2998031440817</c:v>
                </c:pt>
                <c:pt idx="35">
                  <c:v>43.343960919200718</c:v>
                </c:pt>
                <c:pt idx="36">
                  <c:v>43.279326473691583</c:v>
                </c:pt>
                <c:pt idx="37">
                  <c:v>43.554604861917049</c:v>
                </c:pt>
                <c:pt idx="38">
                  <c:v>43.781293718018418</c:v>
                </c:pt>
                <c:pt idx="39">
                  <c:v>43.548973461826876</c:v>
                </c:pt>
                <c:pt idx="40">
                  <c:v>44.00565893898159</c:v>
                </c:pt>
                <c:pt idx="41">
                  <c:v>44.172502724066106</c:v>
                </c:pt>
                <c:pt idx="42">
                  <c:v>44.135864722417587</c:v>
                </c:pt>
                <c:pt idx="43">
                  <c:v>43.378088596101435</c:v>
                </c:pt>
                <c:pt idx="44">
                  <c:v>43.833357198458827</c:v>
                </c:pt>
                <c:pt idx="45">
                  <c:v>44.167356390723846</c:v>
                </c:pt>
                <c:pt idx="46">
                  <c:v>43.301868102182958</c:v>
                </c:pt>
                <c:pt idx="47">
                  <c:v>43.687152737096426</c:v>
                </c:pt>
                <c:pt idx="48">
                  <c:v>43.793668261789371</c:v>
                </c:pt>
                <c:pt idx="49">
                  <c:v>43.554285024493183</c:v>
                </c:pt>
                <c:pt idx="50">
                  <c:v>43.524778849773568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F7-484C-B33D-361DF00D8BAC}"/>
            </c:ext>
          </c:extLst>
        </c:ser>
        <c:ser>
          <c:idx val="2"/>
          <c:order val="2"/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trajectoires!$K$3:$K$53</c:f>
              <c:numCache>
                <c:formatCode>General</c:formatCode>
                <c:ptCount val="51"/>
                <c:pt idx="0">
                  <c:v>40</c:v>
                </c:pt>
                <c:pt idx="1">
                  <c:v>39.765370613242055</c:v>
                </c:pt>
                <c:pt idx="2">
                  <c:v>39.855660913398061</c:v>
                </c:pt>
                <c:pt idx="3">
                  <c:v>39.310286999792325</c:v>
                </c:pt>
                <c:pt idx="4">
                  <c:v>39.270115985804217</c:v>
                </c:pt>
                <c:pt idx="5">
                  <c:v>39.019334358477515</c:v>
                </c:pt>
                <c:pt idx="6">
                  <c:v>38.798305863730029</c:v>
                </c:pt>
                <c:pt idx="7">
                  <c:v>38.752513714061898</c:v>
                </c:pt>
                <c:pt idx="8">
                  <c:v>38.936862477727196</c:v>
                </c:pt>
                <c:pt idx="9">
                  <c:v>38.404773496640992</c:v>
                </c:pt>
                <c:pt idx="10">
                  <c:v>38.836478372195202</c:v>
                </c:pt>
                <c:pt idx="11">
                  <c:v>38.666089076634378</c:v>
                </c:pt>
                <c:pt idx="12">
                  <c:v>38.283800424664321</c:v>
                </c:pt>
                <c:pt idx="13">
                  <c:v>37.959432808632194</c:v>
                </c:pt>
                <c:pt idx="14">
                  <c:v>38.250639510601268</c:v>
                </c:pt>
                <c:pt idx="15">
                  <c:v>37.751321687036288</c:v>
                </c:pt>
                <c:pt idx="16">
                  <c:v>37.077130858895906</c:v>
                </c:pt>
                <c:pt idx="17">
                  <c:v>37.058667089580133</c:v>
                </c:pt>
                <c:pt idx="18">
                  <c:v>37.14066877855506</c:v>
                </c:pt>
                <c:pt idx="19">
                  <c:v>37.211987244816726</c:v>
                </c:pt>
                <c:pt idx="20">
                  <c:v>37.34666465344938</c:v>
                </c:pt>
                <c:pt idx="21">
                  <c:v>37.133980958061628</c:v>
                </c:pt>
                <c:pt idx="22">
                  <c:v>37.263219833594626</c:v>
                </c:pt>
                <c:pt idx="23">
                  <c:v>37.197418134043005</c:v>
                </c:pt>
                <c:pt idx="24">
                  <c:v>37.029139824767412</c:v>
                </c:pt>
                <c:pt idx="25">
                  <c:v>36.701671995359732</c:v>
                </c:pt>
                <c:pt idx="26">
                  <c:v>36.861720353371567</c:v>
                </c:pt>
                <c:pt idx="27">
                  <c:v>37.349616769373796</c:v>
                </c:pt>
                <c:pt idx="28">
                  <c:v>37.90999076277258</c:v>
                </c:pt>
                <c:pt idx="29">
                  <c:v>37.668619143192977</c:v>
                </c:pt>
                <c:pt idx="30">
                  <c:v>37.35422524376677</c:v>
                </c:pt>
                <c:pt idx="31">
                  <c:v>37.516940833316525</c:v>
                </c:pt>
                <c:pt idx="32">
                  <c:v>36.877981743958586</c:v>
                </c:pt>
                <c:pt idx="33">
                  <c:v>36.880356583146131</c:v>
                </c:pt>
                <c:pt idx="34">
                  <c:v>36.946596484511346</c:v>
                </c:pt>
                <c:pt idx="35">
                  <c:v>37.329395563764109</c:v>
                </c:pt>
                <c:pt idx="36">
                  <c:v>37.557185058454692</c:v>
                </c:pt>
                <c:pt idx="37">
                  <c:v>37.154523631136257</c:v>
                </c:pt>
                <c:pt idx="38">
                  <c:v>37.407121334347579</c:v>
                </c:pt>
                <c:pt idx="39">
                  <c:v>37.703384262742809</c:v>
                </c:pt>
                <c:pt idx="40">
                  <c:v>38.107533452697211</c:v>
                </c:pt>
                <c:pt idx="41">
                  <c:v>38.110417110830397</c:v>
                </c:pt>
                <c:pt idx="42">
                  <c:v>38.250099177808352</c:v>
                </c:pt>
                <c:pt idx="43">
                  <c:v>38.48769029219234</c:v>
                </c:pt>
                <c:pt idx="44">
                  <c:v>38.426049645929652</c:v>
                </c:pt>
                <c:pt idx="45">
                  <c:v>38.074974929903433</c:v>
                </c:pt>
                <c:pt idx="46">
                  <c:v>38.215607326686843</c:v>
                </c:pt>
                <c:pt idx="47">
                  <c:v>38.640199430287126</c:v>
                </c:pt>
                <c:pt idx="48">
                  <c:v>38.508899925696419</c:v>
                </c:pt>
                <c:pt idx="49">
                  <c:v>38.148693575762969</c:v>
                </c:pt>
                <c:pt idx="50">
                  <c:v>38.06393683935606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F7-484C-B33D-361DF00D8BAC}"/>
            </c:ext>
          </c:extLst>
        </c:ser>
        <c:ser>
          <c:idx val="3"/>
          <c:order val="3"/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trajectoires!$L$3:$L$53</c:f>
              <c:numCache>
                <c:formatCode>General</c:formatCode>
                <c:ptCount val="51"/>
                <c:pt idx="0">
                  <c:v>40</c:v>
                </c:pt>
                <c:pt idx="1">
                  <c:v>39.329871236312158</c:v>
                </c:pt>
                <c:pt idx="2">
                  <c:v>39.534711292086577</c:v>
                </c:pt>
                <c:pt idx="3">
                  <c:v>39.847773086475826</c:v>
                </c:pt>
                <c:pt idx="4">
                  <c:v>39.829120385516873</c:v>
                </c:pt>
                <c:pt idx="5">
                  <c:v>40.115536680939826</c:v>
                </c:pt>
                <c:pt idx="6">
                  <c:v>40.584165301934114</c:v>
                </c:pt>
                <c:pt idx="7">
                  <c:v>40.731182039385196</c:v>
                </c:pt>
                <c:pt idx="8">
                  <c:v>40.912729232526331</c:v>
                </c:pt>
                <c:pt idx="9">
                  <c:v>40.569574059157702</c:v>
                </c:pt>
                <c:pt idx="10">
                  <c:v>40.957205083433479</c:v>
                </c:pt>
                <c:pt idx="11">
                  <c:v>40.536353205218276</c:v>
                </c:pt>
                <c:pt idx="12">
                  <c:v>40.577239255360411</c:v>
                </c:pt>
                <c:pt idx="13">
                  <c:v>40.030259043045419</c:v>
                </c:pt>
                <c:pt idx="14">
                  <c:v>40.646348761851051</c:v>
                </c:pt>
                <c:pt idx="15">
                  <c:v>40.912500773838076</c:v>
                </c:pt>
                <c:pt idx="16">
                  <c:v>41.398708349107089</c:v>
                </c:pt>
                <c:pt idx="17">
                  <c:v>42.523779243859941</c:v>
                </c:pt>
                <c:pt idx="18">
                  <c:v>42.409336150848937</c:v>
                </c:pt>
                <c:pt idx="19">
                  <c:v>42.615629264457041</c:v>
                </c:pt>
                <c:pt idx="20">
                  <c:v>42.509444536154845</c:v>
                </c:pt>
                <c:pt idx="21">
                  <c:v>42.171280112484041</c:v>
                </c:pt>
                <c:pt idx="22">
                  <c:v>42.179624734679827</c:v>
                </c:pt>
                <c:pt idx="23">
                  <c:v>41.921757533712984</c:v>
                </c:pt>
                <c:pt idx="24">
                  <c:v>41.701763760080638</c:v>
                </c:pt>
                <c:pt idx="25">
                  <c:v>41.601214598773879</c:v>
                </c:pt>
                <c:pt idx="26">
                  <c:v>41.43733774199768</c:v>
                </c:pt>
                <c:pt idx="27">
                  <c:v>41.476482554676792</c:v>
                </c:pt>
                <c:pt idx="28">
                  <c:v>41.791292232648239</c:v>
                </c:pt>
                <c:pt idx="29">
                  <c:v>41.403764665583118</c:v>
                </c:pt>
                <c:pt idx="30">
                  <c:v>41.398341300014877</c:v>
                </c:pt>
                <c:pt idx="31">
                  <c:v>41.497541866254537</c:v>
                </c:pt>
                <c:pt idx="32">
                  <c:v>40.601296305423233</c:v>
                </c:pt>
                <c:pt idx="33">
                  <c:v>40.634707736950105</c:v>
                </c:pt>
                <c:pt idx="34">
                  <c:v>40.49260539000381</c:v>
                </c:pt>
                <c:pt idx="35">
                  <c:v>40.133921832036613</c:v>
                </c:pt>
                <c:pt idx="36">
                  <c:v>39.705472012861215</c:v>
                </c:pt>
                <c:pt idx="37">
                  <c:v>40.223821536009204</c:v>
                </c:pt>
                <c:pt idx="38">
                  <c:v>40.774604263764331</c:v>
                </c:pt>
                <c:pt idx="39">
                  <c:v>41.082409915219472</c:v>
                </c:pt>
                <c:pt idx="40">
                  <c:v>41.196979784882735</c:v>
                </c:pt>
                <c:pt idx="41">
                  <c:v>41.123522932715105</c:v>
                </c:pt>
                <c:pt idx="42">
                  <c:v>41.17518095682879</c:v>
                </c:pt>
                <c:pt idx="43">
                  <c:v>40.619458195640121</c:v>
                </c:pt>
                <c:pt idx="44">
                  <c:v>40.338765663441897</c:v>
                </c:pt>
                <c:pt idx="45">
                  <c:v>40.122434966224894</c:v>
                </c:pt>
                <c:pt idx="46">
                  <c:v>40.29476040710454</c:v>
                </c:pt>
                <c:pt idx="47">
                  <c:v>40.317008881720383</c:v>
                </c:pt>
                <c:pt idx="48">
                  <c:v>40.802666836502446</c:v>
                </c:pt>
                <c:pt idx="49">
                  <c:v>40.479676011815279</c:v>
                </c:pt>
                <c:pt idx="50">
                  <c:v>39.762119844279205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F7-484C-B33D-361DF00D8BAC}"/>
            </c:ext>
          </c:extLst>
        </c:ser>
        <c:ser>
          <c:idx val="4"/>
          <c:order val="4"/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trajectoires!$M$3:$M$53</c:f>
              <c:numCache>
                <c:formatCode>General</c:formatCode>
                <c:ptCount val="51"/>
                <c:pt idx="0">
                  <c:v>40</c:v>
                </c:pt>
                <c:pt idx="1">
                  <c:v>39.092551468618872</c:v>
                </c:pt>
                <c:pt idx="2">
                  <c:v>39.307898150529098</c:v>
                </c:pt>
                <c:pt idx="3">
                  <c:v>39.051284227547875</c:v>
                </c:pt>
                <c:pt idx="4">
                  <c:v>40.183737133358008</c:v>
                </c:pt>
                <c:pt idx="5">
                  <c:v>40.133796090897341</c:v>
                </c:pt>
                <c:pt idx="6">
                  <c:v>40.140599010410234</c:v>
                </c:pt>
                <c:pt idx="7">
                  <c:v>40.274252754511664</c:v>
                </c:pt>
                <c:pt idx="8">
                  <c:v>40.3771828112409</c:v>
                </c:pt>
                <c:pt idx="9">
                  <c:v>40.514119446086674</c:v>
                </c:pt>
                <c:pt idx="10">
                  <c:v>39.700294559888086</c:v>
                </c:pt>
                <c:pt idx="11">
                  <c:v>40.143938744799883</c:v>
                </c:pt>
                <c:pt idx="12">
                  <c:v>40.471524910447954</c:v>
                </c:pt>
                <c:pt idx="13">
                  <c:v>41.015575915821877</c:v>
                </c:pt>
                <c:pt idx="14">
                  <c:v>40.586839780525317</c:v>
                </c:pt>
                <c:pt idx="15">
                  <c:v>40.550145599460969</c:v>
                </c:pt>
                <c:pt idx="16">
                  <c:v>40.43761706001478</c:v>
                </c:pt>
                <c:pt idx="17">
                  <c:v>40.655340645432936</c:v>
                </c:pt>
                <c:pt idx="18">
                  <c:v>40.622368337392935</c:v>
                </c:pt>
                <c:pt idx="19">
                  <c:v>40.380247276405221</c:v>
                </c:pt>
                <c:pt idx="20">
                  <c:v>40.313455271398503</c:v>
                </c:pt>
                <c:pt idx="21">
                  <c:v>40.293070957699918</c:v>
                </c:pt>
                <c:pt idx="22">
                  <c:v>40.936844960429198</c:v>
                </c:pt>
                <c:pt idx="23">
                  <c:v>40.720670307685204</c:v>
                </c:pt>
                <c:pt idx="24">
                  <c:v>40.644481059480064</c:v>
                </c:pt>
                <c:pt idx="25">
                  <c:v>40.628318169640622</c:v>
                </c:pt>
                <c:pt idx="26">
                  <c:v>40.684324360159628</c:v>
                </c:pt>
                <c:pt idx="27">
                  <c:v>40.896699996323072</c:v>
                </c:pt>
                <c:pt idx="28">
                  <c:v>40.447886695382962</c:v>
                </c:pt>
                <c:pt idx="29">
                  <c:v>40.889460944910702</c:v>
                </c:pt>
                <c:pt idx="30">
                  <c:v>40.676609568961254</c:v>
                </c:pt>
                <c:pt idx="31">
                  <c:v>40.64774287687424</c:v>
                </c:pt>
                <c:pt idx="32">
                  <c:v>40.889199048817012</c:v>
                </c:pt>
                <c:pt idx="33">
                  <c:v>41.391350884452947</c:v>
                </c:pt>
                <c:pt idx="34">
                  <c:v>42.460701665307745</c:v>
                </c:pt>
                <c:pt idx="35">
                  <c:v>42.028861291534305</c:v>
                </c:pt>
                <c:pt idx="36">
                  <c:v>41.866442527659977</c:v>
                </c:pt>
                <c:pt idx="37">
                  <c:v>42.887817189751829</c:v>
                </c:pt>
                <c:pt idx="38">
                  <c:v>43.48082740666851</c:v>
                </c:pt>
                <c:pt idx="39">
                  <c:v>42.999058134468193</c:v>
                </c:pt>
                <c:pt idx="40">
                  <c:v>43.39942641973937</c:v>
                </c:pt>
                <c:pt idx="41">
                  <c:v>43.451429915709326</c:v>
                </c:pt>
                <c:pt idx="42">
                  <c:v>43.576991924557603</c:v>
                </c:pt>
                <c:pt idx="43">
                  <c:v>43.870115017115666</c:v>
                </c:pt>
                <c:pt idx="44">
                  <c:v>44.194385285360163</c:v>
                </c:pt>
                <c:pt idx="45">
                  <c:v>43.84465654269512</c:v>
                </c:pt>
                <c:pt idx="46">
                  <c:v>44.122202138997189</c:v>
                </c:pt>
                <c:pt idx="47">
                  <c:v>44.197616553660218</c:v>
                </c:pt>
                <c:pt idx="48">
                  <c:v>44.475541222078569</c:v>
                </c:pt>
                <c:pt idx="49">
                  <c:v>45.289844040155891</c:v>
                </c:pt>
                <c:pt idx="50">
                  <c:v>45.907470818106503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F7-484C-B33D-361DF00D8BAC}"/>
            </c:ext>
          </c:extLst>
        </c:ser>
        <c:ser>
          <c:idx val="5"/>
          <c:order val="5"/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trajectoires!$N$3:$N$53</c:f>
              <c:numCache>
                <c:formatCode>General</c:formatCode>
                <c:ptCount val="51"/>
                <c:pt idx="0">
                  <c:v>40</c:v>
                </c:pt>
                <c:pt idx="1">
                  <c:v>40.530237843327292</c:v>
                </c:pt>
                <c:pt idx="2">
                  <c:v>40.388783644004974</c:v>
                </c:pt>
                <c:pt idx="3">
                  <c:v>40.595310297132315</c:v>
                </c:pt>
                <c:pt idx="4">
                  <c:v>40.363353932467859</c:v>
                </c:pt>
                <c:pt idx="5">
                  <c:v>40.0569356998475</c:v>
                </c:pt>
                <c:pt idx="6">
                  <c:v>40.577502261796752</c:v>
                </c:pt>
                <c:pt idx="7">
                  <c:v>40.527292551316812</c:v>
                </c:pt>
                <c:pt idx="8">
                  <c:v>41.233095929769647</c:v>
                </c:pt>
                <c:pt idx="9">
                  <c:v>41.388833731290887</c:v>
                </c:pt>
                <c:pt idx="10">
                  <c:v>41.477074946230637</c:v>
                </c:pt>
                <c:pt idx="11">
                  <c:v>41.450650152762108</c:v>
                </c:pt>
                <c:pt idx="12">
                  <c:v>41.709998629599902</c:v>
                </c:pt>
                <c:pt idx="13">
                  <c:v>41.598812701934818</c:v>
                </c:pt>
                <c:pt idx="14">
                  <c:v>41.500709401890887</c:v>
                </c:pt>
                <c:pt idx="15">
                  <c:v>40.856018730283857</c:v>
                </c:pt>
                <c:pt idx="16">
                  <c:v>40.934189522667729</c:v>
                </c:pt>
                <c:pt idx="17">
                  <c:v>41.078097586028413</c:v>
                </c:pt>
                <c:pt idx="18">
                  <c:v>41.661680811028525</c:v>
                </c:pt>
                <c:pt idx="19">
                  <c:v>41.781225889428512</c:v>
                </c:pt>
                <c:pt idx="20">
                  <c:v>42.019937311238841</c:v>
                </c:pt>
                <c:pt idx="21">
                  <c:v>41.77447237006426</c:v>
                </c:pt>
                <c:pt idx="22">
                  <c:v>41.782947041558351</c:v>
                </c:pt>
                <c:pt idx="23">
                  <c:v>41.931403918089131</c:v>
                </c:pt>
                <c:pt idx="24">
                  <c:v>42.336110690305041</c:v>
                </c:pt>
                <c:pt idx="25">
                  <c:v>42.0481470215245</c:v>
                </c:pt>
                <c:pt idx="26">
                  <c:v>42.037750843313233</c:v>
                </c:pt>
                <c:pt idx="27">
                  <c:v>42.074109135601994</c:v>
                </c:pt>
                <c:pt idx="28">
                  <c:v>41.77833161095095</c:v>
                </c:pt>
                <c:pt idx="29">
                  <c:v>41.943991486142366</c:v>
                </c:pt>
                <c:pt idx="30">
                  <c:v>41.509100519057895</c:v>
                </c:pt>
                <c:pt idx="31">
                  <c:v>41.351790351694497</c:v>
                </c:pt>
                <c:pt idx="32">
                  <c:v>41.599702529896319</c:v>
                </c:pt>
                <c:pt idx="33">
                  <c:v>41.827304448072347</c:v>
                </c:pt>
                <c:pt idx="34">
                  <c:v>42.358398300917422</c:v>
                </c:pt>
                <c:pt idx="35">
                  <c:v>42.300133547701812</c:v>
                </c:pt>
                <c:pt idx="36">
                  <c:v>42.544627828894264</c:v>
                </c:pt>
                <c:pt idx="37">
                  <c:v>41.746525532017742</c:v>
                </c:pt>
                <c:pt idx="38">
                  <c:v>41.784858740168929</c:v>
                </c:pt>
                <c:pt idx="39">
                  <c:v>41.869379496362804</c:v>
                </c:pt>
                <c:pt idx="40">
                  <c:v>41.598025874507336</c:v>
                </c:pt>
                <c:pt idx="41">
                  <c:v>40.781443965478097</c:v>
                </c:pt>
                <c:pt idx="42">
                  <c:v>40.503822597465494</c:v>
                </c:pt>
                <c:pt idx="43">
                  <c:v>40.440355208378364</c:v>
                </c:pt>
                <c:pt idx="44">
                  <c:v>40.934648560524629</c:v>
                </c:pt>
                <c:pt idx="45">
                  <c:v>41.036988900997855</c:v>
                </c:pt>
                <c:pt idx="46">
                  <c:v>41.304294046046948</c:v>
                </c:pt>
                <c:pt idx="47">
                  <c:v>41.150205164023937</c:v>
                </c:pt>
                <c:pt idx="48">
                  <c:v>41.248667282364188</c:v>
                </c:pt>
                <c:pt idx="49">
                  <c:v>40.943795758074799</c:v>
                </c:pt>
                <c:pt idx="50">
                  <c:v>41.759973255678588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F7-484C-B33D-361DF00D8BAC}"/>
            </c:ext>
          </c:extLst>
        </c:ser>
        <c:ser>
          <c:idx val="6"/>
          <c:order val="6"/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trajectoires!$O$3:$O$53</c:f>
              <c:numCache>
                <c:formatCode>General</c:formatCode>
                <c:ptCount val="51"/>
                <c:pt idx="0">
                  <c:v>40</c:v>
                </c:pt>
                <c:pt idx="1">
                  <c:v>39.58145593778098</c:v>
                </c:pt>
                <c:pt idx="2">
                  <c:v>39.924235540434822</c:v>
                </c:pt>
                <c:pt idx="3">
                  <c:v>40.004851820383458</c:v>
                </c:pt>
                <c:pt idx="4">
                  <c:v>39.780313041255049</c:v>
                </c:pt>
                <c:pt idx="5">
                  <c:v>39.368244622590808</c:v>
                </c:pt>
                <c:pt idx="6">
                  <c:v>39.21273102287121</c:v>
                </c:pt>
                <c:pt idx="7">
                  <c:v>39.146591122218958</c:v>
                </c:pt>
                <c:pt idx="8">
                  <c:v>39.226287158309169</c:v>
                </c:pt>
                <c:pt idx="9">
                  <c:v>39.516575965892024</c:v>
                </c:pt>
                <c:pt idx="10">
                  <c:v>38.609953066696583</c:v>
                </c:pt>
                <c:pt idx="11">
                  <c:v>38.429806108017509</c:v>
                </c:pt>
                <c:pt idx="12">
                  <c:v>38.613499882650792</c:v>
                </c:pt>
                <c:pt idx="13">
                  <c:v>38.883646577294542</c:v>
                </c:pt>
                <c:pt idx="14">
                  <c:v>38.909102641877915</c:v>
                </c:pt>
                <c:pt idx="15">
                  <c:v>39.02365484733884</c:v>
                </c:pt>
                <c:pt idx="16">
                  <c:v>39.266987891255589</c:v>
                </c:pt>
                <c:pt idx="17">
                  <c:v>38.679169042363803</c:v>
                </c:pt>
                <c:pt idx="18">
                  <c:v>38.151898290752371</c:v>
                </c:pt>
                <c:pt idx="19">
                  <c:v>37.957437962034994</c:v>
                </c:pt>
                <c:pt idx="20">
                  <c:v>38.048582398042484</c:v>
                </c:pt>
                <c:pt idx="21">
                  <c:v>38.336331195203527</c:v>
                </c:pt>
                <c:pt idx="22">
                  <c:v>37.922632128338577</c:v>
                </c:pt>
                <c:pt idx="23">
                  <c:v>38.258198818858276</c:v>
                </c:pt>
                <c:pt idx="24">
                  <c:v>38.466168139775249</c:v>
                </c:pt>
                <c:pt idx="25">
                  <c:v>38.784625562059993</c:v>
                </c:pt>
                <c:pt idx="26">
                  <c:v>38.714178591353367</c:v>
                </c:pt>
                <c:pt idx="27">
                  <c:v>38.942431615317084</c:v>
                </c:pt>
                <c:pt idx="28">
                  <c:v>39.518029592491146</c:v>
                </c:pt>
                <c:pt idx="29">
                  <c:v>39.274958871526081</c:v>
                </c:pt>
                <c:pt idx="30">
                  <c:v>40.149631661826255</c:v>
                </c:pt>
                <c:pt idx="31">
                  <c:v>40.578273972141325</c:v>
                </c:pt>
                <c:pt idx="32">
                  <c:v>41.100280712426709</c:v>
                </c:pt>
                <c:pt idx="33">
                  <c:v>41.451004309512292</c:v>
                </c:pt>
                <c:pt idx="34">
                  <c:v>42.076824652597253</c:v>
                </c:pt>
                <c:pt idx="35">
                  <c:v>42.062780776598764</c:v>
                </c:pt>
                <c:pt idx="36">
                  <c:v>42.551970070250206</c:v>
                </c:pt>
                <c:pt idx="37">
                  <c:v>42.810045942975947</c:v>
                </c:pt>
                <c:pt idx="38">
                  <c:v>42.97195725490873</c:v>
                </c:pt>
                <c:pt idx="39">
                  <c:v>43.668088177442442</c:v>
                </c:pt>
                <c:pt idx="40">
                  <c:v>44.040548722343011</c:v>
                </c:pt>
                <c:pt idx="41">
                  <c:v>44.516976576656319</c:v>
                </c:pt>
                <c:pt idx="42">
                  <c:v>45.088429451099742</c:v>
                </c:pt>
                <c:pt idx="43">
                  <c:v>45.127638857775722</c:v>
                </c:pt>
                <c:pt idx="44">
                  <c:v>45.570256071179031</c:v>
                </c:pt>
                <c:pt idx="45">
                  <c:v>45.402808379180705</c:v>
                </c:pt>
                <c:pt idx="46">
                  <c:v>44.700313157679062</c:v>
                </c:pt>
                <c:pt idx="47">
                  <c:v>44.751858775928021</c:v>
                </c:pt>
                <c:pt idx="48">
                  <c:v>44.422449870186206</c:v>
                </c:pt>
                <c:pt idx="49">
                  <c:v>44.333536142866151</c:v>
                </c:pt>
                <c:pt idx="50">
                  <c:v>44.128772886279904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F7-484C-B33D-361DF00D8BAC}"/>
            </c:ext>
          </c:extLst>
        </c:ser>
        <c:ser>
          <c:idx val="7"/>
          <c:order val="7"/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trajectoires!$P$3:$P$53</c:f>
              <c:numCache>
                <c:formatCode>General</c:formatCode>
                <c:ptCount val="51"/>
                <c:pt idx="0">
                  <c:v>40</c:v>
                </c:pt>
                <c:pt idx="1">
                  <c:v>40.369332400787613</c:v>
                </c:pt>
                <c:pt idx="2">
                  <c:v>40.507883764590879</c:v>
                </c:pt>
                <c:pt idx="3">
                  <c:v>40.101963363598529</c:v>
                </c:pt>
                <c:pt idx="4">
                  <c:v>39.804458783976401</c:v>
                </c:pt>
                <c:pt idx="5">
                  <c:v>40.096494813722217</c:v>
                </c:pt>
                <c:pt idx="6">
                  <c:v>39.680682745623642</c:v>
                </c:pt>
                <c:pt idx="7">
                  <c:v>39.458001029230715</c:v>
                </c:pt>
                <c:pt idx="8">
                  <c:v>39.397180473788602</c:v>
                </c:pt>
                <c:pt idx="9">
                  <c:v>39.428890984974899</c:v>
                </c:pt>
                <c:pt idx="10">
                  <c:v>39.330037608047057</c:v>
                </c:pt>
                <c:pt idx="11">
                  <c:v>39.236301147297695</c:v>
                </c:pt>
                <c:pt idx="12">
                  <c:v>39.357291587339503</c:v>
                </c:pt>
                <c:pt idx="13">
                  <c:v>38.73544386975211</c:v>
                </c:pt>
                <c:pt idx="14">
                  <c:v>38.827769842430449</c:v>
                </c:pt>
                <c:pt idx="15">
                  <c:v>38.811206241960377</c:v>
                </c:pt>
                <c:pt idx="16">
                  <c:v>38.491118427718</c:v>
                </c:pt>
                <c:pt idx="17">
                  <c:v>38.412659888926314</c:v>
                </c:pt>
                <c:pt idx="18">
                  <c:v>38.92585623200339</c:v>
                </c:pt>
                <c:pt idx="19">
                  <c:v>39.232983381971323</c:v>
                </c:pt>
                <c:pt idx="20">
                  <c:v>39.607147977546227</c:v>
                </c:pt>
                <c:pt idx="21">
                  <c:v>39.740070025680282</c:v>
                </c:pt>
                <c:pt idx="22">
                  <c:v>40.047626521390342</c:v>
                </c:pt>
                <c:pt idx="23">
                  <c:v>39.924107199836179</c:v>
                </c:pt>
                <c:pt idx="24">
                  <c:v>40.442082136147377</c:v>
                </c:pt>
                <c:pt idx="25">
                  <c:v>40.434077082305549</c:v>
                </c:pt>
                <c:pt idx="26">
                  <c:v>40.865147401568024</c:v>
                </c:pt>
                <c:pt idx="27">
                  <c:v>40.937015000957715</c:v>
                </c:pt>
                <c:pt idx="28">
                  <c:v>40.65530051775648</c:v>
                </c:pt>
                <c:pt idx="29">
                  <c:v>39.578589945177576</c:v>
                </c:pt>
                <c:pt idx="30">
                  <c:v>39.439284487091562</c:v>
                </c:pt>
                <c:pt idx="31">
                  <c:v>39.712471920018835</c:v>
                </c:pt>
                <c:pt idx="32">
                  <c:v>39.138518674784827</c:v>
                </c:pt>
                <c:pt idx="33">
                  <c:v>39.080979692263845</c:v>
                </c:pt>
                <c:pt idx="34">
                  <c:v>38.998709644816749</c:v>
                </c:pt>
                <c:pt idx="35">
                  <c:v>38.662512444950529</c:v>
                </c:pt>
                <c:pt idx="36">
                  <c:v>38.504235547851593</c:v>
                </c:pt>
                <c:pt idx="37">
                  <c:v>38.778998600154097</c:v>
                </c:pt>
                <c:pt idx="38">
                  <c:v>38.895686605133662</c:v>
                </c:pt>
                <c:pt idx="39">
                  <c:v>38.368375219026959</c:v>
                </c:pt>
                <c:pt idx="40">
                  <c:v>38.062501175353304</c:v>
                </c:pt>
                <c:pt idx="41">
                  <c:v>37.985950741119332</c:v>
                </c:pt>
                <c:pt idx="42">
                  <c:v>37.679245189917559</c:v>
                </c:pt>
                <c:pt idx="43">
                  <c:v>37.562652574323813</c:v>
                </c:pt>
                <c:pt idx="44">
                  <c:v>37.265929495193497</c:v>
                </c:pt>
                <c:pt idx="45">
                  <c:v>37.700799223973263</c:v>
                </c:pt>
                <c:pt idx="46">
                  <c:v>37.841981525310004</c:v>
                </c:pt>
                <c:pt idx="47">
                  <c:v>38.569706623150303</c:v>
                </c:pt>
                <c:pt idx="48">
                  <c:v>38.574008873066639</c:v>
                </c:pt>
                <c:pt idx="49">
                  <c:v>38.661267661145445</c:v>
                </c:pt>
                <c:pt idx="50">
                  <c:v>39.219785421027318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0F7-484C-B33D-361DF00D8BAC}"/>
            </c:ext>
          </c:extLst>
        </c:ser>
        <c:ser>
          <c:idx val="8"/>
          <c:order val="8"/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trajectoires!$Q$3:$Q$53</c:f>
              <c:numCache>
                <c:formatCode>General</c:formatCode>
                <c:ptCount val="51"/>
                <c:pt idx="0">
                  <c:v>40</c:v>
                </c:pt>
                <c:pt idx="1">
                  <c:v>39.872086529078828</c:v>
                </c:pt>
                <c:pt idx="2">
                  <c:v>40.530208329882825</c:v>
                </c:pt>
                <c:pt idx="3">
                  <c:v>40.700217274923276</c:v>
                </c:pt>
                <c:pt idx="4">
                  <c:v>40.804876911280225</c:v>
                </c:pt>
                <c:pt idx="5">
                  <c:v>40.336153635937535</c:v>
                </c:pt>
                <c:pt idx="6">
                  <c:v>39.731720271937327</c:v>
                </c:pt>
                <c:pt idx="7">
                  <c:v>39.829045830380586</c:v>
                </c:pt>
                <c:pt idx="8">
                  <c:v>39.496028684082717</c:v>
                </c:pt>
                <c:pt idx="9">
                  <c:v>39.635801278734277</c:v>
                </c:pt>
                <c:pt idx="10">
                  <c:v>39.834769931198501</c:v>
                </c:pt>
                <c:pt idx="11">
                  <c:v>39.804436931002094</c:v>
                </c:pt>
                <c:pt idx="12">
                  <c:v>40.006196579234825</c:v>
                </c:pt>
                <c:pt idx="13">
                  <c:v>39.637128721786006</c:v>
                </c:pt>
                <c:pt idx="14">
                  <c:v>39.660306166579197</c:v>
                </c:pt>
                <c:pt idx="15">
                  <c:v>39.394103601939349</c:v>
                </c:pt>
                <c:pt idx="16">
                  <c:v>39.91254579096703</c:v>
                </c:pt>
                <c:pt idx="17">
                  <c:v>40.032546469872059</c:v>
                </c:pt>
                <c:pt idx="18">
                  <c:v>39.863799913554502</c:v>
                </c:pt>
                <c:pt idx="19">
                  <c:v>40.194250186466164</c:v>
                </c:pt>
                <c:pt idx="20">
                  <c:v>40.0984282231016</c:v>
                </c:pt>
                <c:pt idx="21">
                  <c:v>39.682048331395059</c:v>
                </c:pt>
                <c:pt idx="22">
                  <c:v>39.983390752430246</c:v>
                </c:pt>
                <c:pt idx="23">
                  <c:v>39.939076323955788</c:v>
                </c:pt>
                <c:pt idx="24">
                  <c:v>39.810871565419902</c:v>
                </c:pt>
                <c:pt idx="25">
                  <c:v>40.257921473627583</c:v>
                </c:pt>
                <c:pt idx="26">
                  <c:v>40.77843960895698</c:v>
                </c:pt>
                <c:pt idx="27">
                  <c:v>40.696828885667294</c:v>
                </c:pt>
                <c:pt idx="28">
                  <c:v>40.522067698911229</c:v>
                </c:pt>
                <c:pt idx="29">
                  <c:v>40.596201488303947</c:v>
                </c:pt>
                <c:pt idx="30">
                  <c:v>40.583117426059211</c:v>
                </c:pt>
                <c:pt idx="31">
                  <c:v>40.789179430446367</c:v>
                </c:pt>
                <c:pt idx="32">
                  <c:v>40.160063695353976</c:v>
                </c:pt>
                <c:pt idx="33">
                  <c:v>40.83288813262876</c:v>
                </c:pt>
                <c:pt idx="34">
                  <c:v>40.200279488931002</c:v>
                </c:pt>
                <c:pt idx="35">
                  <c:v>40.098305273359962</c:v>
                </c:pt>
                <c:pt idx="36">
                  <c:v>40.326602692634609</c:v>
                </c:pt>
                <c:pt idx="37">
                  <c:v>40.625984639709905</c:v>
                </c:pt>
                <c:pt idx="38">
                  <c:v>40.852551708460545</c:v>
                </c:pt>
                <c:pt idx="39">
                  <c:v>41.171149813802963</c:v>
                </c:pt>
                <c:pt idx="40">
                  <c:v>41.628281062917381</c:v>
                </c:pt>
                <c:pt idx="41">
                  <c:v>41.802067353539094</c:v>
                </c:pt>
                <c:pt idx="42">
                  <c:v>41.838291101337312</c:v>
                </c:pt>
                <c:pt idx="43">
                  <c:v>41.150601454212435</c:v>
                </c:pt>
                <c:pt idx="44">
                  <c:v>41.363812107731817</c:v>
                </c:pt>
                <c:pt idx="45">
                  <c:v>41.516546289396935</c:v>
                </c:pt>
                <c:pt idx="46">
                  <c:v>41.56795166000424</c:v>
                </c:pt>
                <c:pt idx="47">
                  <c:v>41.635217587151025</c:v>
                </c:pt>
                <c:pt idx="48">
                  <c:v>41.960916450633988</c:v>
                </c:pt>
                <c:pt idx="49">
                  <c:v>42.279787284092464</c:v>
                </c:pt>
                <c:pt idx="50">
                  <c:v>42.241492893066599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F7-484C-B33D-361DF00D8BAC}"/>
            </c:ext>
          </c:extLst>
        </c:ser>
        <c:ser>
          <c:idx val="9"/>
          <c:order val="9"/>
          <c:spPr>
            <a:ln w="19050" cap="rnd" cmpd="sng" algn="ctr">
              <a:solidFill>
                <a:schemeClr val="accent1">
                  <a:lumMod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trajectoires!$R$3:$R$53</c:f>
              <c:numCache>
                <c:formatCode>General</c:formatCode>
                <c:ptCount val="51"/>
                <c:pt idx="0">
                  <c:v>40</c:v>
                </c:pt>
                <c:pt idx="1">
                  <c:v>40.169204259810265</c:v>
                </c:pt>
                <c:pt idx="2">
                  <c:v>40.452316412811257</c:v>
                </c:pt>
                <c:pt idx="3">
                  <c:v>40.271852646333443</c:v>
                </c:pt>
                <c:pt idx="4">
                  <c:v>39.728117659083821</c:v>
                </c:pt>
                <c:pt idx="5">
                  <c:v>39.26503101118896</c:v>
                </c:pt>
                <c:pt idx="6">
                  <c:v>39.071842230812329</c:v>
                </c:pt>
                <c:pt idx="7">
                  <c:v>39.338834373974933</c:v>
                </c:pt>
                <c:pt idx="8">
                  <c:v>39.470038534987346</c:v>
                </c:pt>
                <c:pt idx="9">
                  <c:v>39.646701562845223</c:v>
                </c:pt>
                <c:pt idx="10">
                  <c:v>40.115362673275463</c:v>
                </c:pt>
                <c:pt idx="11">
                  <c:v>40.245343898829752</c:v>
                </c:pt>
                <c:pt idx="12">
                  <c:v>40.748797817891656</c:v>
                </c:pt>
                <c:pt idx="13">
                  <c:v>40.417669304781732</c:v>
                </c:pt>
                <c:pt idx="14">
                  <c:v>40.977560413911384</c:v>
                </c:pt>
                <c:pt idx="15">
                  <c:v>40.524669211110528</c:v>
                </c:pt>
                <c:pt idx="16">
                  <c:v>40.535355937677352</c:v>
                </c:pt>
                <c:pt idx="17">
                  <c:v>40.133470096330491</c:v>
                </c:pt>
                <c:pt idx="18">
                  <c:v>40.379372723528761</c:v>
                </c:pt>
                <c:pt idx="19">
                  <c:v>39.983681197216207</c:v>
                </c:pt>
                <c:pt idx="20">
                  <c:v>39.880432073649359</c:v>
                </c:pt>
                <c:pt idx="21">
                  <c:v>39.926438594129657</c:v>
                </c:pt>
                <c:pt idx="22">
                  <c:v>40.19610591227147</c:v>
                </c:pt>
                <c:pt idx="23">
                  <c:v>39.90676607884857</c:v>
                </c:pt>
                <c:pt idx="24">
                  <c:v>39.876964452441236</c:v>
                </c:pt>
                <c:pt idx="25">
                  <c:v>39.724625058847955</c:v>
                </c:pt>
                <c:pt idx="26">
                  <c:v>39.801104068406225</c:v>
                </c:pt>
                <c:pt idx="27">
                  <c:v>40.162464869235052</c:v>
                </c:pt>
                <c:pt idx="28">
                  <c:v>40.754281474454551</c:v>
                </c:pt>
                <c:pt idx="29">
                  <c:v>40.397127355570454</c:v>
                </c:pt>
                <c:pt idx="30">
                  <c:v>40.581312370357736</c:v>
                </c:pt>
                <c:pt idx="31">
                  <c:v>40.411024826810085</c:v>
                </c:pt>
                <c:pt idx="32">
                  <c:v>40.594659954597354</c:v>
                </c:pt>
                <c:pt idx="33">
                  <c:v>40.690555849973165</c:v>
                </c:pt>
                <c:pt idx="34">
                  <c:v>41.02519325578448</c:v>
                </c:pt>
                <c:pt idx="35">
                  <c:v>40.868873564002513</c:v>
                </c:pt>
                <c:pt idx="36">
                  <c:v>40.391863275151046</c:v>
                </c:pt>
                <c:pt idx="37">
                  <c:v>40.636068823884138</c:v>
                </c:pt>
                <c:pt idx="38">
                  <c:v>40.59059455156099</c:v>
                </c:pt>
                <c:pt idx="39">
                  <c:v>40.245629380258045</c:v>
                </c:pt>
                <c:pt idx="40">
                  <c:v>40.293184363087867</c:v>
                </c:pt>
                <c:pt idx="41">
                  <c:v>40.653828254057558</c:v>
                </c:pt>
                <c:pt idx="42">
                  <c:v>40.716579820436507</c:v>
                </c:pt>
                <c:pt idx="43">
                  <c:v>40.64024402819895</c:v>
                </c:pt>
                <c:pt idx="44">
                  <c:v>40.294597959579178</c:v>
                </c:pt>
                <c:pt idx="45">
                  <c:v>40.320527211638371</c:v>
                </c:pt>
                <c:pt idx="46">
                  <c:v>40.173545145613389</c:v>
                </c:pt>
                <c:pt idx="47">
                  <c:v>40.315152360703884</c:v>
                </c:pt>
                <c:pt idx="48">
                  <c:v>40.377939056311156</c:v>
                </c:pt>
                <c:pt idx="49">
                  <c:v>40.624267840990768</c:v>
                </c:pt>
                <c:pt idx="50">
                  <c:v>40.073151132589068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0F7-484C-B33D-361DF00D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6819408"/>
        <c:axId val="2106822736"/>
      </c:lineChart>
      <c:catAx>
        <c:axId val="2106819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06822736"/>
        <c:crosses val="autoZero"/>
        <c:auto val="1"/>
        <c:lblAlgn val="ctr"/>
        <c:lblOffset val="100"/>
        <c:noMultiLvlLbl val="0"/>
      </c:catAx>
      <c:valAx>
        <c:axId val="2106822736"/>
        <c:scaling>
          <c:orientation val="minMax"/>
          <c:min val="3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068194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IC!$C$2</c:f>
              <c:strCache>
                <c:ptCount val="1"/>
                <c:pt idx="0">
                  <c:v>est.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cat>
          <c:val>
            <c:numRef>
              <c:f>IC!$C$3:$C$8</c:f>
              <c:numCache>
                <c:formatCode>General</c:formatCode>
                <c:ptCount val="6"/>
                <c:pt idx="0">
                  <c:v>5.7484255848069559</c:v>
                </c:pt>
                <c:pt idx="1">
                  <c:v>5.7200068289386232</c:v>
                </c:pt>
                <c:pt idx="2">
                  <c:v>5.724049457201775</c:v>
                </c:pt>
                <c:pt idx="3">
                  <c:v>5.6818257803993371</c:v>
                </c:pt>
                <c:pt idx="4">
                  <c:v>5.7196155137002256</c:v>
                </c:pt>
                <c:pt idx="5">
                  <c:v>5.7006401445232804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4F-4C3C-8255-6494F35C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4946688"/>
        <c:axId val="2114938368"/>
      </c:barChart>
      <c:scatterChart>
        <c:scatterStyle val="lineMarker"/>
        <c:varyColors val="0"/>
        <c:ser>
          <c:idx val="0"/>
          <c:order val="0"/>
          <c:tx>
            <c:strRef>
              <c:f>IC!$B$2</c:f>
              <c:strCache>
                <c:ptCount val="1"/>
                <c:pt idx="0">
                  <c:v>bas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6350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xVal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xVal>
          <c:yVal>
            <c:numRef>
              <c:f>IC!$B$3:$B$8</c:f>
              <c:numCache>
                <c:formatCode>General</c:formatCode>
                <c:ptCount val="6"/>
                <c:pt idx="0">
                  <c:v>5.7083765701168767</c:v>
                </c:pt>
                <c:pt idx="1">
                  <c:v>5.7020226011512429</c:v>
                </c:pt>
                <c:pt idx="2">
                  <c:v>5.6826148061920536</c:v>
                </c:pt>
                <c:pt idx="3">
                  <c:v>5.6425935229493547</c:v>
                </c:pt>
                <c:pt idx="4">
                  <c:v>5.6999833744913699</c:v>
                </c:pt>
                <c:pt idx="5">
                  <c:v>5.6615282330097605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F-4C3C-8255-6494F35C6382}"/>
            </c:ext>
          </c:extLst>
        </c:ser>
        <c:ser>
          <c:idx val="2"/>
          <c:order val="2"/>
          <c:tx>
            <c:strRef>
              <c:f>IC!$D$2</c:f>
              <c:strCache>
                <c:ptCount val="1"/>
                <c:pt idx="0">
                  <c:v>haut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xVal>
            <c:strRef>
              <c:f>IC!$A$3:$A$8</c:f>
              <c:strCache>
                <c:ptCount val="6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  <c:pt idx="5">
                  <c:v>C_N</c:v>
                </c:pt>
              </c:strCache>
            </c:strRef>
          </c:xVal>
          <c:yVal>
            <c:numRef>
              <c:f>IC!$D$3:$D$8</c:f>
              <c:numCache>
                <c:formatCode>General</c:formatCode>
                <c:ptCount val="6"/>
                <c:pt idx="0">
                  <c:v>5.788474599497035</c:v>
                </c:pt>
                <c:pt idx="1">
                  <c:v>5.7379910567260035</c:v>
                </c:pt>
                <c:pt idx="2">
                  <c:v>5.7654841082114965</c:v>
                </c:pt>
                <c:pt idx="3">
                  <c:v>5.7210580378493194</c:v>
                </c:pt>
                <c:pt idx="4">
                  <c:v>5.7392476529090812</c:v>
                </c:pt>
                <c:pt idx="5">
                  <c:v>5.7397520560368003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F-4C3C-8255-6494F35C6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46688"/>
        <c:axId val="2114938368"/>
      </c:scatterChart>
      <c:catAx>
        <c:axId val="211494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4938368"/>
        <c:crosses val="autoZero"/>
        <c:auto val="1"/>
        <c:lblAlgn val="ctr"/>
        <c:lblOffset val="100"/>
        <c:noMultiLvlLbl val="0"/>
      </c:catAx>
      <c:valAx>
        <c:axId val="211493836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494668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6" fmlaLink="trajectoires!F2" max="40" page="2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3</xdr:row>
          <xdr:rowOff>7620</xdr:rowOff>
        </xdr:from>
        <xdr:to>
          <xdr:col>17</xdr:col>
          <xdr:colOff>182880</xdr:colOff>
          <xdr:row>13</xdr:row>
          <xdr:rowOff>167640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142875</xdr:colOff>
      <xdr:row>15</xdr:row>
      <xdr:rowOff>289676</xdr:rowOff>
    </xdr:from>
    <xdr:to>
      <xdr:col>7</xdr:col>
      <xdr:colOff>571499</xdr:colOff>
      <xdr:row>23</xdr:row>
      <xdr:rowOff>152400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03487" y="3212170"/>
          <a:ext cx="3494553" cy="1449477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1100" b="1">
              <a:solidFill>
                <a:sysClr val="windowText" lastClr="000000"/>
              </a:solidFill>
            </a:rPr>
            <a:t>Les estimateurs se calculent ainsi:</a:t>
          </a:r>
        </a:p>
        <a:p>
          <a:pPr algn="l"/>
          <a:r>
            <a:rPr lang="de-DE" sz="1100" b="1">
              <a:solidFill>
                <a:sysClr val="windowText" lastClr="000000"/>
              </a:solidFill>
            </a:rPr>
            <a:t>C_inf</a:t>
          </a:r>
          <a:r>
            <a:rPr lang="de-DE" sz="1100">
              <a:solidFill>
                <a:sysClr val="windowText" lastClr="000000"/>
              </a:solidFill>
            </a:rPr>
            <a:t>: Le prix d'une option asiatique d'achat. La moyenne de l'aire</a:t>
          </a:r>
          <a:r>
            <a:rPr lang="de-DE" sz="1100" baseline="0">
              <a:solidFill>
                <a:sysClr val="windowText" lastClr="000000"/>
              </a:solidFill>
            </a:rPr>
            <a:t> sous les courbes de prix, moins  K, puis actualisée. 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C_5nt</a:t>
          </a:r>
          <a:r>
            <a:rPr lang="de-DE" sz="1100" baseline="0">
              <a:solidFill>
                <a:sysClr val="windowText" lastClr="000000"/>
              </a:solidFill>
            </a:rPr>
            <a:t>: Avec cinq fois plus de courbes simulées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C_anti</a:t>
          </a:r>
          <a:r>
            <a:rPr lang="de-DE" sz="1100" baseline="0">
              <a:solidFill>
                <a:sysClr val="windowText" lastClr="000000"/>
              </a:solidFill>
            </a:rPr>
            <a:t>: Avec une variable antithétique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C_N</a:t>
          </a:r>
          <a:r>
            <a:rPr lang="de-DE" sz="1100" baseline="0">
              <a:solidFill>
                <a:sysClr val="windowText" lastClr="000000"/>
              </a:solidFill>
            </a:rPr>
            <a:t>:  Au lieu de l'aire on prend la moyenne de Nd valeurs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VC_1</a:t>
          </a:r>
          <a:r>
            <a:rPr lang="de-DE" sz="1100" baseline="0">
              <a:solidFill>
                <a:sysClr val="windowText" lastClr="000000"/>
              </a:solidFill>
            </a:rPr>
            <a:t>: Variable de contrôle, un mouvement brownien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VC_2</a:t>
          </a:r>
          <a:r>
            <a:rPr lang="de-DE" sz="1100" baseline="0">
              <a:solidFill>
                <a:sysClr val="windowText" lastClr="000000"/>
              </a:solidFill>
            </a:rPr>
            <a:t>: V. d. C.,  un mouv. brown. à W_T 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12440</xdr:colOff>
      <xdr:row>20</xdr:row>
      <xdr:rowOff>7620</xdr:rowOff>
    </xdr:from>
    <xdr:to>
      <xdr:col>1</xdr:col>
      <xdr:colOff>518899</xdr:colOff>
      <xdr:row>23</xdr:row>
      <xdr:rowOff>172380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25" b="20783"/>
        <a:stretch/>
      </xdr:blipFill>
      <xdr:spPr bwMode="auto">
        <a:xfrm>
          <a:off x="263900" y="4023360"/>
          <a:ext cx="506459" cy="7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266700</xdr:colOff>
      <xdr:row>4</xdr:row>
      <xdr:rowOff>83820</xdr:rowOff>
    </xdr:from>
    <xdr:to>
      <xdr:col>5</xdr:col>
      <xdr:colOff>379500</xdr:colOff>
      <xdr:row>11</xdr:row>
      <xdr:rowOff>135660</xdr:rowOff>
    </xdr:to>
    <xdr:sp macro="[0]!Macro1" textlink="">
      <xdr:nvSpPr>
        <xdr:cNvPr id="9" name="Flowchart: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10740" y="982980"/>
          <a:ext cx="1332000" cy="1332000"/>
        </a:xfrm>
        <a:prstGeom prst="flowChartConnector">
          <a:avLst/>
        </a:prstGeom>
        <a:solidFill>
          <a:schemeClr val="accent1"/>
        </a:solidFill>
        <a:ln w="12700" cap="flat" cmpd="sng" algn="ctr">
          <a:noFill/>
          <a:prstDash val="solid"/>
          <a:miter lim="800000"/>
        </a:ln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de-DE" sz="1100" i="1"/>
            <a:t>cliquer pour</a:t>
          </a:r>
        </a:p>
        <a:p>
          <a:pPr algn="ctr"/>
          <a:r>
            <a:rPr lang="de-DE" sz="1100" i="1"/>
            <a:t>demarrer</a:t>
          </a:r>
          <a:r>
            <a:rPr lang="de-DE" sz="1100" i="1" baseline="0"/>
            <a:t> </a:t>
          </a:r>
          <a:r>
            <a:rPr lang="de-DE" sz="1100" i="1"/>
            <a:t>la</a:t>
          </a:r>
          <a:r>
            <a:rPr lang="de-DE" sz="1100" i="1" baseline="0"/>
            <a:t> simulation</a:t>
          </a:r>
          <a:endParaRPr lang="de-DE" sz="1100" i="1"/>
        </a:p>
      </xdr:txBody>
    </xdr:sp>
    <xdr:clientData/>
  </xdr:twoCellAnchor>
  <xdr:twoCellAnchor>
    <xdr:from>
      <xdr:col>1</xdr:col>
      <xdr:colOff>29454</xdr:colOff>
      <xdr:row>16</xdr:row>
      <xdr:rowOff>5144</xdr:rowOff>
    </xdr:from>
    <xdr:to>
      <xdr:col>2</xdr:col>
      <xdr:colOff>13253</xdr:colOff>
      <xdr:row>19</xdr:row>
      <xdr:rowOff>159025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1245" y="3318187"/>
          <a:ext cx="593399" cy="710473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B. Deutsch</a:t>
          </a:r>
        </a:p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V. De 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Crespin De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Billy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M. Lang</a:t>
          </a:r>
          <a:endParaRPr lang="de-DE" sz="900" b="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12</xdr:col>
      <xdr:colOff>25400</xdr:colOff>
      <xdr:row>14</xdr:row>
      <xdr:rowOff>132080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1A6FC9D-A6DE-41AA-865A-6F2F313EE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13</xdr:col>
      <xdr:colOff>289560</xdr:colOff>
      <xdr:row>23</xdr:row>
      <xdr:rowOff>180340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288D835C-E5A5-4168-A185-3932CB996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92DB-EF92-4E5A-9BC9-ACD638096CD5}">
  <sheetPr codeName="Sheet3"/>
  <dimension ref="B1:S25"/>
  <sheetViews>
    <sheetView showGridLines="0" showRowColHeaders="0" tabSelected="1" zoomScale="110" zoomScaleNormal="110" workbookViewId="0">
      <selection activeCell="D17" sqref="D17"/>
    </sheetView>
  </sheetViews>
  <sheetFormatPr defaultRowHeight="14.4" x14ac:dyDescent="0.3"/>
  <cols>
    <col min="1" max="1" width="3.6640625" style="2" customWidth="1"/>
    <col min="2" max="2" width="8.88671875" style="2"/>
    <col min="3" max="3" width="9.109375" style="2" customWidth="1"/>
    <col min="4" max="6" width="8.88671875" style="2"/>
    <col min="7" max="12" width="8.88671875" style="2" customWidth="1"/>
    <col min="13" max="13" width="4.6640625" style="2" customWidth="1"/>
    <col min="14" max="16" width="10.77734375" style="2" customWidth="1"/>
    <col min="17" max="17" width="11.33203125" style="2" customWidth="1"/>
    <col min="18" max="18" width="2.88671875" style="2" customWidth="1"/>
    <col min="19" max="19" width="8.5546875" style="2" customWidth="1"/>
    <col min="20" max="16384" width="8.88671875" style="2"/>
  </cols>
  <sheetData>
    <row r="1" spans="2:19" ht="18" customHeight="1" x14ac:dyDescent="0.3"/>
    <row r="2" spans="2:19" ht="25.8" x14ac:dyDescent="0.5">
      <c r="B2" s="21" t="s">
        <v>0</v>
      </c>
      <c r="C2" s="21"/>
      <c r="D2" s="21"/>
      <c r="E2" s="21"/>
      <c r="F2" s="21"/>
      <c r="G2" s="21" t="s">
        <v>32</v>
      </c>
      <c r="H2" s="21"/>
      <c r="I2" s="21"/>
      <c r="J2" s="21"/>
      <c r="K2" s="21"/>
      <c r="L2" s="21"/>
      <c r="M2" s="21" t="s">
        <v>33</v>
      </c>
      <c r="N2" s="21"/>
      <c r="O2" s="21"/>
      <c r="P2" s="21"/>
      <c r="Q2" s="21"/>
      <c r="R2" s="14"/>
    </row>
    <row r="3" spans="2:19" ht="16.2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5" t="s">
        <v>8</v>
      </c>
      <c r="N3" s="5" t="s">
        <v>10</v>
      </c>
      <c r="O3" s="5" t="s">
        <v>39</v>
      </c>
      <c r="P3" s="5" t="s">
        <v>16</v>
      </c>
      <c r="Q3" s="5" t="s">
        <v>17</v>
      </c>
      <c r="R3" s="4"/>
    </row>
    <row r="4" spans="2:19" x14ac:dyDescent="0.3">
      <c r="B4" s="4"/>
      <c r="C4" s="20" t="s">
        <v>40</v>
      </c>
      <c r="D4" s="4"/>
      <c r="E4" s="4"/>
      <c r="F4" s="4"/>
      <c r="G4" s="4"/>
      <c r="H4" s="4"/>
      <c r="I4" s="4"/>
      <c r="J4" s="4"/>
      <c r="K4" s="4"/>
      <c r="L4" s="4"/>
      <c r="M4" s="11">
        <f ca="1">OFFSET(trajectoires!A3, trajectoires!$F$2,0)</f>
        <v>0</v>
      </c>
      <c r="N4" s="11">
        <f ca="1">OFFSET(trajectoires!B3, trajectoires!$F$2,0)</f>
        <v>40</v>
      </c>
      <c r="O4" s="11">
        <f ca="1">OFFSET(trajectoires!C3, trajectoires!$F$2,0)</f>
        <v>40</v>
      </c>
      <c r="P4" s="11">
        <f ca="1">OFFSET(trajectoires!D3, trajectoires!$F$2,0)</f>
        <v>40</v>
      </c>
      <c r="Q4" s="11">
        <f ca="1">OFFSET(trajectoires!E3, trajectoires!$F$2,0)</f>
        <v>40</v>
      </c>
      <c r="R4" s="4"/>
    </row>
    <row r="5" spans="2:19" x14ac:dyDescent="0.3">
      <c r="B5" s="6" t="s">
        <v>6</v>
      </c>
      <c r="C5" s="15">
        <v>40</v>
      </c>
      <c r="D5" s="4"/>
      <c r="E5" s="4"/>
      <c r="F5" s="4"/>
      <c r="G5" s="4"/>
      <c r="H5" s="4"/>
      <c r="I5" s="4"/>
      <c r="J5" s="4"/>
      <c r="K5" s="4"/>
      <c r="L5" s="4"/>
      <c r="M5" s="11">
        <f ca="1">OFFSET(trajectoires!A4, trajectoires!$F$2,0)</f>
        <v>0.02</v>
      </c>
      <c r="N5" s="11">
        <f ca="1">OFFSET(trajectoires!B4, trajectoires!$F$2,0)</f>
        <v>40.050651611886636</v>
      </c>
      <c r="O5" s="11">
        <f ca="1">OFFSET(trajectoires!C4, trajectoires!$F$2,0)</f>
        <v>40.029348388113362</v>
      </c>
      <c r="P5" s="11">
        <f ca="1">OFFSET(trajectoires!D4, trajectoires!$F$2,0)</f>
        <v>40.004210419289237</v>
      </c>
      <c r="Q5" s="11">
        <f ca="1">OFFSET(trajectoires!E4, trajectoires!$F$2,0)</f>
        <v>40.004210419289237</v>
      </c>
      <c r="R5" s="4"/>
      <c r="S5" s="3"/>
    </row>
    <row r="6" spans="2:19" x14ac:dyDescent="0.3">
      <c r="B6" s="6" t="s">
        <v>9</v>
      </c>
      <c r="C6" s="16">
        <v>35</v>
      </c>
      <c r="D6" s="4"/>
      <c r="E6" s="4"/>
      <c r="F6" s="4"/>
      <c r="G6" s="4"/>
      <c r="H6" s="4"/>
      <c r="I6" s="4"/>
      <c r="J6" s="4"/>
      <c r="K6" s="4"/>
      <c r="L6" s="4"/>
      <c r="M6" s="11">
        <f ca="1">OFFSET(trajectoires!A5, trajectoires!$F$2,0)</f>
        <v>0.04</v>
      </c>
      <c r="N6" s="11">
        <f ca="1">OFFSET(trajectoires!B5, trajectoires!$F$2,0)</f>
        <v>40.469262551155403</v>
      </c>
      <c r="O6" s="11">
        <f ca="1">OFFSET(trajectoires!C5, trajectoires!$F$2,0)</f>
        <v>39.691119447003238</v>
      </c>
      <c r="P6" s="11">
        <f ca="1">OFFSET(trajectoires!D5, trajectoires!$F$2,0)</f>
        <v>40.153565731311332</v>
      </c>
      <c r="Q6" s="11">
        <f ca="1">OFFSET(trajectoires!E5, trajectoires!$F$2,0)</f>
        <v>40.153565731311332</v>
      </c>
      <c r="R6" s="4"/>
      <c r="S6" s="3"/>
    </row>
    <row r="7" spans="2:19" x14ac:dyDescent="0.3">
      <c r="B7" s="6" t="s">
        <v>1</v>
      </c>
      <c r="C7" s="16">
        <v>0.05</v>
      </c>
      <c r="D7" s="4"/>
      <c r="E7" s="4"/>
      <c r="F7" s="4"/>
      <c r="G7" s="4"/>
      <c r="H7" s="4"/>
      <c r="I7" s="4"/>
      <c r="J7" s="4"/>
      <c r="K7" s="4"/>
      <c r="L7" s="4"/>
      <c r="M7" s="11">
        <f ca="1">OFFSET(trajectoires!A6, trajectoires!$F$2,0)</f>
        <v>0.06</v>
      </c>
      <c r="N7" s="11">
        <f ca="1">OFFSET(trajectoires!B6, trajectoires!$F$2,0)</f>
        <v>40.535037134066641</v>
      </c>
      <c r="O7" s="11">
        <f ca="1">OFFSET(trajectoires!C6, trajectoires!$F$2,0)</f>
        <v>39.706231582511798</v>
      </c>
      <c r="P7" s="11">
        <f ca="1">OFFSET(trajectoires!D6, trajectoires!$F$2,0)</f>
        <v>40.163395061040752</v>
      </c>
      <c r="Q7" s="11">
        <f ca="1">OFFSET(trajectoires!E6, trajectoires!$F$2,0)</f>
        <v>40.163395061040752</v>
      </c>
      <c r="R7" s="4"/>
      <c r="S7" s="3"/>
    </row>
    <row r="8" spans="2:19" x14ac:dyDescent="0.3">
      <c r="B8" s="6" t="s">
        <v>2</v>
      </c>
      <c r="C8" s="17">
        <v>0.01</v>
      </c>
      <c r="D8" s="4"/>
      <c r="E8" s="4"/>
      <c r="F8" s="4"/>
      <c r="G8" s="4"/>
      <c r="H8" s="4"/>
      <c r="I8" s="4"/>
      <c r="J8" s="4"/>
      <c r="K8" s="4"/>
      <c r="L8" s="4"/>
      <c r="M8" s="11">
        <f ca="1">OFFSET(trajectoires!A7, trajectoires!$F$2,0)</f>
        <v>0.08</v>
      </c>
      <c r="N8" s="11">
        <f ca="1">OFFSET(trajectoires!B7, trajectoires!$F$2,0)</f>
        <v>41.1561232473058</v>
      </c>
      <c r="O8" s="11">
        <f ca="1">OFFSET(trajectoires!C7, trajectoires!$F$2,0)</f>
        <v>39.183100893257702</v>
      </c>
      <c r="P8" s="11">
        <f ca="1">OFFSET(trajectoires!D7, trajectoires!$F$2,0)</f>
        <v>40.388349502173675</v>
      </c>
      <c r="Q8" s="11">
        <f ca="1">OFFSET(trajectoires!E7, trajectoires!$F$2,0)</f>
        <v>40.388349502173675</v>
      </c>
      <c r="R8" s="4"/>
    </row>
    <row r="9" spans="2:19" x14ac:dyDescent="0.3">
      <c r="B9" s="6"/>
      <c r="C9" s="6"/>
      <c r="D9" s="4"/>
      <c r="E9" s="4"/>
      <c r="F9" s="4"/>
      <c r="G9" s="4"/>
      <c r="H9" s="4"/>
      <c r="I9" s="4"/>
      <c r="J9" s="4"/>
      <c r="K9" s="4"/>
      <c r="L9" s="4"/>
      <c r="M9" s="11">
        <f ca="1">OFFSET(trajectoires!A8, trajectoires!$F$2,0)</f>
        <v>0.1</v>
      </c>
      <c r="N9" s="11">
        <f ca="1">OFFSET(trajectoires!B8, trajectoires!$F$2,0)</f>
        <v>41.152513334089704</v>
      </c>
      <c r="O9" s="11">
        <f ca="1">OFFSET(trajectoires!C8, trajectoires!$F$2,0)</f>
        <v>39.2638698035895</v>
      </c>
      <c r="P9" s="11">
        <f ca="1">OFFSET(trajectoires!D8, trajectoires!$F$2,0)</f>
        <v>40.371394534914749</v>
      </c>
      <c r="Q9" s="11">
        <f ca="1">OFFSET(trajectoires!E8, trajectoires!$F$2,0)</f>
        <v>40.371394534914749</v>
      </c>
      <c r="R9" s="4"/>
    </row>
    <row r="10" spans="2:19" x14ac:dyDescent="0.3">
      <c r="B10" s="6" t="s">
        <v>4</v>
      </c>
      <c r="C10" s="19">
        <v>50</v>
      </c>
      <c r="D10" s="4"/>
      <c r="E10" s="4"/>
      <c r="F10" s="4"/>
      <c r="G10" s="4"/>
      <c r="H10" s="4"/>
      <c r="I10" s="4"/>
      <c r="J10" s="4"/>
      <c r="K10" s="4"/>
      <c r="L10" s="4"/>
      <c r="M10" s="11">
        <f ca="1">OFFSET(trajectoires!A9, trajectoires!$F$2,0)</f>
        <v>0.12000000000000001</v>
      </c>
      <c r="N10" s="11">
        <f ca="1">OFFSET(trajectoires!B9, trajectoires!$F$2,0)</f>
        <v>41.665860798088644</v>
      </c>
      <c r="O10" s="11">
        <f ca="1">OFFSET(trajectoires!C9, trajectoires!$F$2,0)</f>
        <v>38.863069063707187</v>
      </c>
      <c r="P10" s="11">
        <f ca="1">OFFSET(trajectoires!D9, trajectoires!$F$2,0)</f>
        <v>40.55026012196204</v>
      </c>
      <c r="Q10" s="11">
        <f ca="1">OFFSET(trajectoires!E9, trajectoires!$F$2,0)</f>
        <v>40.55026012196204</v>
      </c>
      <c r="R10" s="4"/>
    </row>
    <row r="11" spans="2:19" x14ac:dyDescent="0.3">
      <c r="B11" s="6" t="s">
        <v>3</v>
      </c>
      <c r="C11" s="19">
        <v>1</v>
      </c>
      <c r="D11" s="4"/>
      <c r="E11" s="4"/>
      <c r="F11" s="4"/>
      <c r="G11" s="4"/>
      <c r="H11" s="4"/>
      <c r="I11" s="4"/>
      <c r="J11" s="4"/>
      <c r="K11" s="4"/>
      <c r="L11" s="4"/>
      <c r="M11" s="11">
        <f ca="1">OFFSET(trajectoires!A10, trajectoires!$F$2,0)</f>
        <v>0.14000000000000001</v>
      </c>
      <c r="N11" s="11">
        <f ca="1">OFFSET(trajectoires!B10, trajectoires!$F$2,0)</f>
        <v>41.898805312770378</v>
      </c>
      <c r="O11" s="11">
        <f ca="1">OFFSET(trajectoires!C10, trajectoires!$F$2,0)</f>
        <v>38.729625652756589</v>
      </c>
      <c r="P11" s="11">
        <f ca="1">OFFSET(trajectoires!D10, trajectoires!$F$2,0)</f>
        <v>40.621380813187287</v>
      </c>
      <c r="Q11" s="11">
        <f ca="1">OFFSET(trajectoires!E10, trajectoires!$F$2,0)</f>
        <v>40.621380813187287</v>
      </c>
      <c r="R11" s="4"/>
    </row>
    <row r="12" spans="2:19" x14ac:dyDescent="0.3">
      <c r="B12" s="6"/>
      <c r="C12" s="4"/>
      <c r="D12" s="4"/>
      <c r="E12" s="4"/>
      <c r="F12" s="4"/>
      <c r="G12" s="4"/>
      <c r="H12" s="4"/>
      <c r="I12" s="4"/>
      <c r="J12" s="4"/>
      <c r="K12" s="4"/>
      <c r="L12" s="4"/>
      <c r="M12" s="11">
        <f ca="1">OFFSET(trajectoires!A11, trajectoires!$F$2,0)</f>
        <v>0.16</v>
      </c>
      <c r="N12" s="11">
        <f ca="1">OFFSET(trajectoires!B11, trajectoires!$F$2,0)</f>
        <v>41.996115174619483</v>
      </c>
      <c r="O12" s="11">
        <f ca="1">OFFSET(trajectoires!C11, trajectoires!$F$2,0)</f>
        <v>38.719110643706756</v>
      </c>
      <c r="P12" s="11">
        <f ca="1">OFFSET(trajectoires!D11, trajectoires!$F$2,0)</f>
        <v>40.641812017712617</v>
      </c>
      <c r="Q12" s="11">
        <f ca="1">OFFSET(trajectoires!E11, trajectoires!$F$2,0)</f>
        <v>40.641812017712617</v>
      </c>
      <c r="R12" s="4"/>
    </row>
    <row r="13" spans="2:19" x14ac:dyDescent="0.3">
      <c r="B13" s="6" t="s">
        <v>7</v>
      </c>
      <c r="C13" s="19">
        <v>6</v>
      </c>
      <c r="D13" s="4"/>
      <c r="E13" s="4"/>
      <c r="F13" s="4"/>
      <c r="G13" s="4"/>
      <c r="H13" s="4"/>
      <c r="I13" s="4"/>
      <c r="J13" s="4"/>
      <c r="K13" s="4"/>
      <c r="L13" s="4"/>
      <c r="M13" s="11">
        <f ca="1">OFFSET(trajectoires!A12, trajectoires!$F$2,0)</f>
        <v>0.18</v>
      </c>
      <c r="N13" s="11">
        <f ca="1">OFFSET(trajectoires!B12, trajectoires!$F$2,0)</f>
        <v>41.814840804913835</v>
      </c>
      <c r="O13" s="11">
        <f ca="1">OFFSET(trajectoires!C12, trajectoires!$F$2,0)</f>
        <v>38.955483795541795</v>
      </c>
      <c r="P13" s="11">
        <f ca="1">OFFSET(trajectoires!D12, trajectoires!$F$2,0)</f>
        <v>40.559773531445849</v>
      </c>
      <c r="Q13" s="11">
        <f ca="1">OFFSET(trajectoires!E12, trajectoires!$F$2,0)</f>
        <v>40.559773531445849</v>
      </c>
      <c r="R13" s="4"/>
    </row>
    <row r="14" spans="2:19" x14ac:dyDescent="0.3">
      <c r="B14" s="6" t="s">
        <v>5</v>
      </c>
      <c r="C14" s="18">
        <v>5000</v>
      </c>
      <c r="D14" s="4"/>
      <c r="E14" s="4"/>
      <c r="F14" s="4"/>
      <c r="G14" s="4"/>
      <c r="H14" s="4"/>
      <c r="I14" s="4"/>
      <c r="J14" s="4"/>
      <c r="K14" s="4"/>
      <c r="L14" s="4"/>
      <c r="M14" s="11">
        <f ca="1">OFFSET(trajectoires!A13, trajectoires!$F$2,0)</f>
        <v>0.19999999999999998</v>
      </c>
      <c r="N14" s="11">
        <f ca="1">OFFSET(trajectoires!B13, trajectoires!$F$2,0)</f>
        <v>42.026300433711931</v>
      </c>
      <c r="O14" s="11">
        <f ca="1">OFFSET(trajectoires!C13, trajectoires!$F$2,0)</f>
        <v>38.841894358022351</v>
      </c>
      <c r="P14" s="11">
        <f ca="1">OFFSET(trajectoires!D13, trajectoires!$F$2,0)</f>
        <v>40.62251357990138</v>
      </c>
      <c r="Q14" s="11">
        <f ca="1">OFFSET(trajectoires!E13, trajectoires!$F$2,0)</f>
        <v>40.62251357990138</v>
      </c>
      <c r="R14" s="4"/>
    </row>
    <row r="15" spans="2:19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9" ht="25.8" x14ac:dyDescent="0.3">
      <c r="B16" s="21" t="s">
        <v>11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4"/>
    </row>
    <row r="17" spans="2:19" x14ac:dyDescent="0.3">
      <c r="B17" s="13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5" t="s">
        <v>34</v>
      </c>
      <c r="P17" s="5" t="s">
        <v>12</v>
      </c>
      <c r="Q17" s="5" t="s">
        <v>38</v>
      </c>
      <c r="R17" s="4"/>
    </row>
    <row r="18" spans="2:19" x14ac:dyDescent="0.3">
      <c r="B18" s="2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6" t="str">
        <f>IC!A3</f>
        <v>C_inf</v>
      </c>
      <c r="O18" s="12">
        <f>IC!C3</f>
        <v>5.7484255848069559</v>
      </c>
      <c r="P18" s="9">
        <f>IC!D3-IC!B3</f>
        <v>8.0098029380158309E-2</v>
      </c>
      <c r="Q18" s="8">
        <f>IC!E3</f>
        <v>0.10199999809265137</v>
      </c>
      <c r="R18" s="4"/>
    </row>
    <row r="19" spans="2:19" x14ac:dyDescent="0.3">
      <c r="B19" s="2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6" t="str">
        <f>IC!A4</f>
        <v>C_5nt</v>
      </c>
      <c r="O19" s="12">
        <f>IC!C4</f>
        <v>5.7200068289386232</v>
      </c>
      <c r="P19" s="9">
        <f>IC!D4-IC!B4</f>
        <v>3.5968455574760583E-2</v>
      </c>
      <c r="Q19" s="8">
        <f>IC!E4</f>
        <v>0.625</v>
      </c>
      <c r="R19" s="4"/>
    </row>
    <row r="20" spans="2:19" x14ac:dyDescent="0.3">
      <c r="B20" s="13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6" t="str">
        <f>IC!A5</f>
        <v>C_anti</v>
      </c>
      <c r="O20" s="12">
        <f>IC!C5</f>
        <v>5.724049457201775</v>
      </c>
      <c r="P20" s="9">
        <f>IC!D5-IC!B5</f>
        <v>8.286930201944287E-2</v>
      </c>
      <c r="Q20" s="8">
        <f>IC!E5</f>
        <v>0.164000004529953</v>
      </c>
      <c r="R20" s="4"/>
    </row>
    <row r="21" spans="2:19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6" t="str">
        <f>IC!A6</f>
        <v>VC_1</v>
      </c>
      <c r="O21" s="12">
        <f>IC!C6</f>
        <v>5.6818257803993371</v>
      </c>
      <c r="P21" s="9">
        <f>IC!D6-IC!B6</f>
        <v>7.8464514899964755E-2</v>
      </c>
      <c r="Q21" s="8">
        <f>IC!E6</f>
        <v>8.5999999999999993E-2</v>
      </c>
      <c r="R21" s="4"/>
    </row>
    <row r="22" spans="2:19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6" t="str">
        <f>IC!A7</f>
        <v>VC_2</v>
      </c>
      <c r="O22" s="12">
        <f>IC!C7</f>
        <v>5.7196155137002256</v>
      </c>
      <c r="P22" s="9">
        <f>IC!D7-IC!B7</f>
        <v>3.9264278417711296E-2</v>
      </c>
      <c r="Q22" s="8">
        <f>IC!E7</f>
        <v>7.0000000000000007E-2</v>
      </c>
      <c r="R22" s="4"/>
    </row>
    <row r="23" spans="2:19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26" t="str">
        <f>IC!A8</f>
        <v>C_N</v>
      </c>
      <c r="O23" s="27">
        <f>IC!C8</f>
        <v>5.7006401445232804</v>
      </c>
      <c r="P23" s="28">
        <f>IC!D8-IC!B8</f>
        <v>7.8223823027039785E-2</v>
      </c>
      <c r="Q23" s="29">
        <f>IC!E8</f>
        <v>8.6000002920627594E-2</v>
      </c>
      <c r="R23" s="4"/>
    </row>
    <row r="24" spans="2:19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2:19" ht="13.2" customHeight="1" x14ac:dyDescent="0.3">
      <c r="S25" s="10"/>
    </row>
  </sheetData>
  <mergeCells count="5">
    <mergeCell ref="B2:F2"/>
    <mergeCell ref="M2:Q2"/>
    <mergeCell ref="B16:Q16"/>
    <mergeCell ref="G2:L2"/>
    <mergeCell ref="B18:B19"/>
  </mergeCells>
  <conditionalFormatting sqref="P18:P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{8D5A6951-A19F-4E2A-9F5D-A2AC975A3F20}</x14:id>
        </ext>
      </extLst>
    </cfRule>
  </conditionalFormatting>
  <conditionalFormatting sqref="Q18:Q2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count="1">
    <dataValidation type="whole" errorStyle="warning" allowBlank="1" showInputMessage="1" showErrorMessage="1" errorTitle="Numero trop haut ou bas" error="Numero trop haut ou bas" promptTitle="Nombre de sous-intervalles" prompt="Choissisez les nombre des intervalles avec lesquelles le prix X_N est calculé" sqref="C13" xr:uid="{E8CD53C7-E4B5-4194-A0FC-EF16AB7C27E2}">
      <formula1>1</formula1>
      <formula2>C10/2-1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17</xdr:col>
                    <xdr:colOff>7620</xdr:colOff>
                    <xdr:row>3</xdr:row>
                    <xdr:rowOff>7620</xdr:rowOff>
                  </from>
                  <to>
                    <xdr:col>17</xdr:col>
                    <xdr:colOff>182880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5A6951-A19F-4E2A-9F5D-A2AC975A3F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P18:P23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nt trop haut" error="Excel ne peut pas afficher plus que 250 trajectoires sur un graphique._x000a_Il faut mettre au moins &quot;1&quot;." promptTitle="nombre des trajectoires" prompt="Veuillez-vous donner le nombre des trajectoires." xr:uid="{FC6DBB3F-37BD-4EE9-9CC2-40431F20D21A}">
          <x14:formula1>
            <xm:f>trajectoires!G:G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R53"/>
  <sheetViews>
    <sheetView workbookViewId="0">
      <selection activeCell="A2" sqref="A2"/>
    </sheetView>
  </sheetViews>
  <sheetFormatPr defaultRowHeight="14.4" x14ac:dyDescent="0.3"/>
  <sheetData>
    <row r="1" spans="1:18" x14ac:dyDescent="0.3">
      <c r="A1" s="23" t="s">
        <v>45</v>
      </c>
      <c r="B1" s="23"/>
      <c r="C1" s="23"/>
      <c r="D1" s="23"/>
      <c r="E1" s="23"/>
      <c r="F1" s="24" t="s">
        <v>26</v>
      </c>
      <c r="G1" s="24"/>
      <c r="H1" s="24"/>
      <c r="I1" s="25" t="s">
        <v>44</v>
      </c>
      <c r="J1" s="25"/>
      <c r="K1" s="25"/>
      <c r="L1" s="25"/>
      <c r="M1" s="25"/>
      <c r="N1" s="25"/>
      <c r="O1" s="25"/>
      <c r="P1" s="25"/>
      <c r="Q1" s="25"/>
      <c r="R1" s="25"/>
    </row>
    <row r="2" spans="1:18" x14ac:dyDescent="0.3">
      <c r="A2" s="1" t="s">
        <v>15</v>
      </c>
      <c r="B2" s="1" t="s">
        <v>24</v>
      </c>
      <c r="C2" s="1" t="s">
        <v>25</v>
      </c>
      <c r="D2" s="1" t="s">
        <v>16</v>
      </c>
      <c r="E2" s="1" t="s">
        <v>17</v>
      </c>
      <c r="F2">
        <v>0</v>
      </c>
    </row>
    <row r="3" spans="1:18" x14ac:dyDescent="0.3">
      <c r="A3">
        <v>0</v>
      </c>
      <c r="B3">
        <v>40</v>
      </c>
      <c r="C3">
        <v>40</v>
      </c>
      <c r="D3">
        <v>40</v>
      </c>
      <c r="E3">
        <v>40</v>
      </c>
      <c r="I3">
        <v>40</v>
      </c>
      <c r="J3">
        <v>40</v>
      </c>
      <c r="K3">
        <v>40</v>
      </c>
      <c r="L3">
        <v>40</v>
      </c>
      <c r="M3">
        <v>40</v>
      </c>
      <c r="N3">
        <v>40</v>
      </c>
      <c r="O3">
        <v>40</v>
      </c>
      <c r="P3">
        <v>40</v>
      </c>
      <c r="Q3">
        <v>40</v>
      </c>
      <c r="R3">
        <v>40</v>
      </c>
    </row>
    <row r="4" spans="1:18" x14ac:dyDescent="0.3">
      <c r="A4">
        <v>0.02</v>
      </c>
      <c r="B4">
        <v>40.050651611886636</v>
      </c>
      <c r="C4">
        <v>40.029348388113362</v>
      </c>
      <c r="D4">
        <v>40.004210419289237</v>
      </c>
      <c r="E4">
        <v>40.004210419289237</v>
      </c>
      <c r="I4">
        <v>39.910383876648346</v>
      </c>
      <c r="J4">
        <v>40.015298276996198</v>
      </c>
      <c r="K4">
        <v>39.765370613242055</v>
      </c>
      <c r="L4">
        <v>39.329871236312158</v>
      </c>
      <c r="M4">
        <v>39.092551468618872</v>
      </c>
      <c r="N4">
        <v>40.530237843327292</v>
      </c>
      <c r="O4">
        <v>39.58145593778098</v>
      </c>
      <c r="P4">
        <v>40.369332400787613</v>
      </c>
      <c r="Q4">
        <v>39.872086529078828</v>
      </c>
      <c r="R4">
        <v>40.169204259810265</v>
      </c>
    </row>
    <row r="5" spans="1:18" x14ac:dyDescent="0.3">
      <c r="A5">
        <v>0.04</v>
      </c>
      <c r="B5">
        <v>40.469262551155403</v>
      </c>
      <c r="C5">
        <v>39.691119447003238</v>
      </c>
      <c r="D5">
        <v>40.153565731311332</v>
      </c>
      <c r="E5">
        <v>40.153565731311332</v>
      </c>
      <c r="I5">
        <v>40.000555774997181</v>
      </c>
      <c r="J5">
        <v>39.700702177600824</v>
      </c>
      <c r="K5">
        <v>39.855660913398061</v>
      </c>
      <c r="L5">
        <v>39.534711292086577</v>
      </c>
      <c r="M5">
        <v>39.307898150529098</v>
      </c>
      <c r="N5">
        <v>40.388783644004974</v>
      </c>
      <c r="O5">
        <v>39.924235540434822</v>
      </c>
      <c r="P5">
        <v>40.507883764590879</v>
      </c>
      <c r="Q5">
        <v>40.530208329882825</v>
      </c>
      <c r="R5">
        <v>40.452316412811257</v>
      </c>
    </row>
    <row r="6" spans="1:18" x14ac:dyDescent="0.3">
      <c r="A6">
        <v>0.06</v>
      </c>
      <c r="B6">
        <v>40.535037134066641</v>
      </c>
      <c r="C6">
        <v>39.706231582511798</v>
      </c>
      <c r="D6">
        <v>40.163395061040752</v>
      </c>
      <c r="E6">
        <v>40.163395061040752</v>
      </c>
      <c r="I6">
        <v>40.283549233073963</v>
      </c>
      <c r="J6">
        <v>40.010914234541062</v>
      </c>
      <c r="K6">
        <v>39.310286999792325</v>
      </c>
      <c r="L6">
        <v>39.847773086475826</v>
      </c>
      <c r="M6">
        <v>39.051284227547875</v>
      </c>
      <c r="N6">
        <v>40.595310297132315</v>
      </c>
      <c r="O6">
        <v>40.004851820383458</v>
      </c>
      <c r="P6">
        <v>40.101963363598529</v>
      </c>
      <c r="Q6">
        <v>40.700217274923276</v>
      </c>
      <c r="R6">
        <v>40.271852646333443</v>
      </c>
    </row>
    <row r="7" spans="1:18" x14ac:dyDescent="0.3">
      <c r="A7">
        <v>0.08</v>
      </c>
      <c r="B7">
        <v>41.1561232473058</v>
      </c>
      <c r="C7">
        <v>39.183100893257702</v>
      </c>
      <c r="D7">
        <v>40.388349502173675</v>
      </c>
      <c r="E7">
        <v>40.388349502173675</v>
      </c>
      <c r="I7">
        <v>40.825116821626686</v>
      </c>
      <c r="J7">
        <v>40.093582736417474</v>
      </c>
      <c r="K7">
        <v>39.270115985804217</v>
      </c>
      <c r="L7">
        <v>39.829120385516873</v>
      </c>
      <c r="M7">
        <v>40.183737133358008</v>
      </c>
      <c r="N7">
        <v>40.363353932467859</v>
      </c>
      <c r="O7">
        <v>39.780313041255049</v>
      </c>
      <c r="P7">
        <v>39.804458783976401</v>
      </c>
      <c r="Q7">
        <v>40.804876911280225</v>
      </c>
      <c r="R7">
        <v>39.728117659083821</v>
      </c>
    </row>
    <row r="8" spans="1:18" x14ac:dyDescent="0.3">
      <c r="A8">
        <v>0.1</v>
      </c>
      <c r="B8">
        <v>41.152513334089704</v>
      </c>
      <c r="C8">
        <v>39.2638698035895</v>
      </c>
      <c r="D8">
        <v>40.371394534914749</v>
      </c>
      <c r="E8">
        <v>40.371394534914749</v>
      </c>
      <c r="I8">
        <v>40.683713724511072</v>
      </c>
      <c r="J8">
        <v>40.540633054870327</v>
      </c>
      <c r="K8">
        <v>39.019334358477515</v>
      </c>
      <c r="L8">
        <v>40.115536680939826</v>
      </c>
      <c r="M8">
        <v>40.133796090897341</v>
      </c>
      <c r="N8">
        <v>40.0569356998475</v>
      </c>
      <c r="O8">
        <v>39.368244622590808</v>
      </c>
      <c r="P8">
        <v>40.096494813722217</v>
      </c>
      <c r="Q8">
        <v>40.336153635937535</v>
      </c>
      <c r="R8">
        <v>39.26503101118896</v>
      </c>
    </row>
    <row r="9" spans="1:18" x14ac:dyDescent="0.3">
      <c r="A9">
        <v>0.12000000000000001</v>
      </c>
      <c r="B9">
        <v>41.665860798088644</v>
      </c>
      <c r="C9">
        <v>38.863069063707187</v>
      </c>
      <c r="D9">
        <v>40.55026012196204</v>
      </c>
      <c r="E9">
        <v>40.55026012196204</v>
      </c>
      <c r="I9">
        <v>40.431360209158136</v>
      </c>
      <c r="J9">
        <v>39.982959601681813</v>
      </c>
      <c r="K9">
        <v>38.798305863730029</v>
      </c>
      <c r="L9">
        <v>40.584165301934114</v>
      </c>
      <c r="M9">
        <v>40.140599010410234</v>
      </c>
      <c r="N9">
        <v>40.577502261796752</v>
      </c>
      <c r="O9">
        <v>39.21273102287121</v>
      </c>
      <c r="P9">
        <v>39.680682745623642</v>
      </c>
      <c r="Q9">
        <v>39.731720271937327</v>
      </c>
      <c r="R9">
        <v>39.071842230812329</v>
      </c>
    </row>
    <row r="10" spans="1:18" x14ac:dyDescent="0.3">
      <c r="A10">
        <v>0.14000000000000001</v>
      </c>
      <c r="B10">
        <v>41.898805312770378</v>
      </c>
      <c r="C10">
        <v>38.729625652756589</v>
      </c>
      <c r="D10">
        <v>40.621380813187287</v>
      </c>
      <c r="E10">
        <v>40.621380813187287</v>
      </c>
      <c r="I10">
        <v>40.371443029546384</v>
      </c>
      <c r="J10">
        <v>40.27815639197253</v>
      </c>
      <c r="K10">
        <v>38.752513714061898</v>
      </c>
      <c r="L10">
        <v>40.731182039385196</v>
      </c>
      <c r="M10">
        <v>40.274252754511664</v>
      </c>
      <c r="N10">
        <v>40.527292551316812</v>
      </c>
      <c r="O10">
        <v>39.146591122218958</v>
      </c>
      <c r="P10">
        <v>39.458001029230715</v>
      </c>
      <c r="Q10">
        <v>39.829045830380586</v>
      </c>
      <c r="R10">
        <v>39.338834373974933</v>
      </c>
    </row>
    <row r="11" spans="1:18" x14ac:dyDescent="0.3">
      <c r="A11">
        <v>0.16</v>
      </c>
      <c r="B11">
        <v>41.996115174619483</v>
      </c>
      <c r="C11">
        <v>38.719110643706756</v>
      </c>
      <c r="D11">
        <v>40.641812017712617</v>
      </c>
      <c r="E11">
        <v>40.641812017712617</v>
      </c>
      <c r="I11">
        <v>40.835567922272979</v>
      </c>
      <c r="J11">
        <v>40.462892452392417</v>
      </c>
      <c r="K11">
        <v>38.936862477727196</v>
      </c>
      <c r="L11">
        <v>40.912729232526331</v>
      </c>
      <c r="M11">
        <v>40.3771828112409</v>
      </c>
      <c r="N11">
        <v>41.233095929769647</v>
      </c>
      <c r="O11">
        <v>39.226287158309169</v>
      </c>
      <c r="P11">
        <v>39.397180473788602</v>
      </c>
      <c r="Q11">
        <v>39.496028684082717</v>
      </c>
      <c r="R11">
        <v>39.470038534987346</v>
      </c>
    </row>
    <row r="12" spans="1:18" x14ac:dyDescent="0.3">
      <c r="A12">
        <v>0.18</v>
      </c>
      <c r="B12">
        <v>41.814840804913835</v>
      </c>
      <c r="C12">
        <v>38.955483795541795</v>
      </c>
      <c r="D12">
        <v>40.559773531445849</v>
      </c>
      <c r="E12">
        <v>40.559773531445849</v>
      </c>
      <c r="I12">
        <v>41.19704013500705</v>
      </c>
      <c r="J12">
        <v>40.251763660058394</v>
      </c>
      <c r="K12">
        <v>38.404773496640992</v>
      </c>
      <c r="L12">
        <v>40.569574059157702</v>
      </c>
      <c r="M12">
        <v>40.514119446086674</v>
      </c>
      <c r="N12">
        <v>41.388833731290887</v>
      </c>
      <c r="O12">
        <v>39.516575965892024</v>
      </c>
      <c r="P12">
        <v>39.428890984974899</v>
      </c>
      <c r="Q12">
        <v>39.635801278734277</v>
      </c>
      <c r="R12">
        <v>39.646701562845223</v>
      </c>
    </row>
    <row r="13" spans="1:18" x14ac:dyDescent="0.3">
      <c r="A13">
        <v>0.19999999999999998</v>
      </c>
      <c r="B13">
        <v>42.026300433711931</v>
      </c>
      <c r="C13">
        <v>38.841894358022351</v>
      </c>
      <c r="D13">
        <v>40.62251357990138</v>
      </c>
      <c r="E13">
        <v>40.62251357990138</v>
      </c>
      <c r="I13">
        <v>40.870812166139359</v>
      </c>
      <c r="J13">
        <v>40.919518672731044</v>
      </c>
      <c r="K13">
        <v>38.836478372195202</v>
      </c>
      <c r="L13">
        <v>40.957205083433479</v>
      </c>
      <c r="M13">
        <v>39.700294559888086</v>
      </c>
      <c r="N13">
        <v>41.477074946230637</v>
      </c>
      <c r="O13">
        <v>38.609953066696583</v>
      </c>
      <c r="P13">
        <v>39.330037608047057</v>
      </c>
      <c r="Q13">
        <v>39.834769931198501</v>
      </c>
      <c r="R13">
        <v>40.115362673275463</v>
      </c>
    </row>
    <row r="14" spans="1:18" x14ac:dyDescent="0.3">
      <c r="A14">
        <v>0.21999999999999997</v>
      </c>
      <c r="B14">
        <v>42.99402317960449</v>
      </c>
      <c r="C14">
        <v>38.058233312474606</v>
      </c>
      <c r="D14">
        <v>40.962285007428946</v>
      </c>
      <c r="E14">
        <v>40.962285007428946</v>
      </c>
      <c r="I14">
        <v>41.157159598879495</v>
      </c>
      <c r="J14">
        <v>41.457075135077481</v>
      </c>
      <c r="K14">
        <v>38.666089076634378</v>
      </c>
      <c r="L14">
        <v>40.536353205218276</v>
      </c>
      <c r="M14">
        <v>40.143938744799883</v>
      </c>
      <c r="N14">
        <v>41.450650152762108</v>
      </c>
      <c r="O14">
        <v>38.429806108017509</v>
      </c>
      <c r="P14">
        <v>39.236301147297695</v>
      </c>
      <c r="Q14">
        <v>39.804436931002094</v>
      </c>
      <c r="R14">
        <v>40.245343898829752</v>
      </c>
    </row>
    <row r="15" spans="1:18" x14ac:dyDescent="0.3">
      <c r="A15">
        <v>0.23999999999999996</v>
      </c>
      <c r="B15">
        <v>43.237961738234645</v>
      </c>
      <c r="C15">
        <v>37.928937195059788</v>
      </c>
      <c r="D15">
        <v>41.03356441327405</v>
      </c>
      <c r="E15">
        <v>41.03356441327405</v>
      </c>
      <c r="I15">
        <v>40.70685113550293</v>
      </c>
      <c r="J15">
        <v>41.279035262624674</v>
      </c>
      <c r="K15">
        <v>38.283800424664321</v>
      </c>
      <c r="L15">
        <v>40.577239255360411</v>
      </c>
      <c r="M15">
        <v>40.471524910447954</v>
      </c>
      <c r="N15">
        <v>41.709998629599902</v>
      </c>
      <c r="O15">
        <v>38.613499882650792</v>
      </c>
      <c r="P15">
        <v>39.357291587339503</v>
      </c>
      <c r="Q15">
        <v>40.006196579234825</v>
      </c>
      <c r="R15">
        <v>40.748797817891656</v>
      </c>
    </row>
    <row r="16" spans="1:18" x14ac:dyDescent="0.3">
      <c r="A16">
        <v>0.25999999999999995</v>
      </c>
      <c r="B16">
        <v>43.803779698374406</v>
      </c>
      <c r="C16">
        <v>37.53751661968743</v>
      </c>
      <c r="D16">
        <v>41.217368415598003</v>
      </c>
      <c r="E16">
        <v>41.217368415598003</v>
      </c>
      <c r="I16">
        <v>41.197525162212806</v>
      </c>
      <c r="J16">
        <v>41.857871643468421</v>
      </c>
      <c r="K16">
        <v>37.959432808632194</v>
      </c>
      <c r="L16">
        <v>40.030259043045419</v>
      </c>
      <c r="M16">
        <v>41.015575915821877</v>
      </c>
      <c r="N16">
        <v>41.598812701934818</v>
      </c>
      <c r="O16">
        <v>38.883646577294542</v>
      </c>
      <c r="P16">
        <v>38.73544386975211</v>
      </c>
      <c r="Q16">
        <v>39.637128721786006</v>
      </c>
      <c r="R16">
        <v>40.417669304781732</v>
      </c>
    </row>
    <row r="17" spans="1:18" x14ac:dyDescent="0.3">
      <c r="A17">
        <v>0.27999999999999997</v>
      </c>
      <c r="B17">
        <v>43.464068008590388</v>
      </c>
      <c r="C17">
        <v>37.879292385678845</v>
      </c>
      <c r="D17">
        <v>41.085081921378503</v>
      </c>
      <c r="E17">
        <v>41.085081921378503</v>
      </c>
      <c r="I17">
        <v>41.564363506013585</v>
      </c>
      <c r="J17">
        <v>42.101039761645985</v>
      </c>
      <c r="K17">
        <v>38.250639510601268</v>
      </c>
      <c r="L17">
        <v>40.646348761851051</v>
      </c>
      <c r="M17">
        <v>40.586839780525317</v>
      </c>
      <c r="N17">
        <v>41.500709401890887</v>
      </c>
      <c r="O17">
        <v>38.909102641877915</v>
      </c>
      <c r="P17">
        <v>38.827769842430449</v>
      </c>
      <c r="Q17">
        <v>39.660306166579197</v>
      </c>
      <c r="R17">
        <v>40.977560413911384</v>
      </c>
    </row>
    <row r="18" spans="1:18" x14ac:dyDescent="0.3">
      <c r="A18">
        <v>0.3</v>
      </c>
      <c r="B18">
        <v>43.654841485127619</v>
      </c>
      <c r="C18">
        <v>37.797321767420165</v>
      </c>
      <c r="D18">
        <v>41.136490420930343</v>
      </c>
      <c r="E18">
        <v>41.136490420930343</v>
      </c>
      <c r="I18">
        <v>42.276003824199918</v>
      </c>
      <c r="J18">
        <v>42.555731242393456</v>
      </c>
      <c r="K18">
        <v>37.751321687036288</v>
      </c>
      <c r="L18">
        <v>40.912500773838076</v>
      </c>
      <c r="M18">
        <v>40.550145599460969</v>
      </c>
      <c r="N18">
        <v>40.856018730283857</v>
      </c>
      <c r="O18">
        <v>39.02365484733884</v>
      </c>
      <c r="P18">
        <v>38.811206241960377</v>
      </c>
      <c r="Q18">
        <v>39.394103601939349</v>
      </c>
      <c r="R18">
        <v>40.524669211110528</v>
      </c>
    </row>
    <row r="19" spans="1:18" x14ac:dyDescent="0.3">
      <c r="A19">
        <v>0.32</v>
      </c>
      <c r="B19">
        <v>43.674331231843048</v>
      </c>
      <c r="C19">
        <v>37.854587541199585</v>
      </c>
      <c r="D19">
        <v>41.128112430127153</v>
      </c>
      <c r="E19">
        <v>41.128112430127153</v>
      </c>
      <c r="I19">
        <v>42.390637443535411</v>
      </c>
      <c r="J19">
        <v>41.752733768102921</v>
      </c>
      <c r="K19">
        <v>37.077130858895906</v>
      </c>
      <c r="L19">
        <v>41.398708349107089</v>
      </c>
      <c r="M19">
        <v>40.43761706001478</v>
      </c>
      <c r="N19">
        <v>40.934189522667729</v>
      </c>
      <c r="O19">
        <v>39.266987891255589</v>
      </c>
      <c r="P19">
        <v>38.491118427718</v>
      </c>
      <c r="Q19">
        <v>39.91254579096703</v>
      </c>
      <c r="R19">
        <v>40.535355937677352</v>
      </c>
    </row>
    <row r="20" spans="1:18" x14ac:dyDescent="0.3">
      <c r="A20">
        <v>0.34</v>
      </c>
      <c r="B20">
        <v>43.961035877617988</v>
      </c>
      <c r="C20">
        <v>37.696332538845773</v>
      </c>
      <c r="D20">
        <v>41.212314167714808</v>
      </c>
      <c r="E20">
        <v>41.212314167714808</v>
      </c>
      <c r="I20">
        <v>42.556290648348011</v>
      </c>
      <c r="J20">
        <v>41.266782198634203</v>
      </c>
      <c r="K20">
        <v>37.058667089580133</v>
      </c>
      <c r="L20">
        <v>42.523779243859941</v>
      </c>
      <c r="M20">
        <v>40.655340645432936</v>
      </c>
      <c r="N20">
        <v>41.078097586028413</v>
      </c>
      <c r="O20">
        <v>38.679169042363803</v>
      </c>
      <c r="P20">
        <v>38.412659888926314</v>
      </c>
      <c r="Q20">
        <v>40.032546469872059</v>
      </c>
      <c r="R20">
        <v>40.133470096330491</v>
      </c>
    </row>
    <row r="21" spans="1:18" x14ac:dyDescent="0.3">
      <c r="A21">
        <v>0.36000000000000004</v>
      </c>
      <c r="B21">
        <v>44.674282043280201</v>
      </c>
      <c r="C21">
        <v>37.202584331120427</v>
      </c>
      <c r="D21">
        <v>41.441933949481594</v>
      </c>
      <c r="E21">
        <v>41.441933949481594</v>
      </c>
      <c r="I21">
        <v>42.447957079809733</v>
      </c>
      <c r="J21">
        <v>41.210879653507902</v>
      </c>
      <c r="K21">
        <v>37.14066877855506</v>
      </c>
      <c r="L21">
        <v>42.409336150848937</v>
      </c>
      <c r="M21">
        <v>40.622368337392935</v>
      </c>
      <c r="N21">
        <v>41.661680811028525</v>
      </c>
      <c r="O21">
        <v>38.151898290752371</v>
      </c>
      <c r="P21">
        <v>38.92585623200339</v>
      </c>
      <c r="Q21">
        <v>39.863799913554502</v>
      </c>
      <c r="R21">
        <v>40.379372723528761</v>
      </c>
    </row>
    <row r="22" spans="1:18" x14ac:dyDescent="0.3">
      <c r="A22">
        <v>0.38000000000000006</v>
      </c>
      <c r="B22">
        <v>45.173101596460498</v>
      </c>
      <c r="C22">
        <v>36.89466853595534</v>
      </c>
      <c r="D22">
        <v>41.594026668427233</v>
      </c>
      <c r="E22">
        <v>41.594026668427233</v>
      </c>
      <c r="I22">
        <v>42.973103559104139</v>
      </c>
      <c r="J22">
        <v>42.130804803116021</v>
      </c>
      <c r="K22">
        <v>37.211987244816726</v>
      </c>
      <c r="L22">
        <v>42.615629264457041</v>
      </c>
      <c r="M22">
        <v>40.380247276405221</v>
      </c>
      <c r="N22">
        <v>41.781225889428512</v>
      </c>
      <c r="O22">
        <v>37.957437962034994</v>
      </c>
      <c r="P22">
        <v>39.232983381971323</v>
      </c>
      <c r="Q22">
        <v>40.194250186466164</v>
      </c>
      <c r="R22">
        <v>39.983681197216207</v>
      </c>
    </row>
    <row r="23" spans="1:18" x14ac:dyDescent="0.3">
      <c r="A23">
        <v>0.40000000000000008</v>
      </c>
      <c r="B23">
        <v>45.893679341807932</v>
      </c>
      <c r="C23">
        <v>36.433035157891744</v>
      </c>
      <c r="D23">
        <v>41.816482695526815</v>
      </c>
      <c r="E23">
        <v>41.816482695526815</v>
      </c>
      <c r="I23">
        <v>43.422251822973152</v>
      </c>
      <c r="J23">
        <v>42.200247463023153</v>
      </c>
      <c r="K23">
        <v>37.34666465344938</v>
      </c>
      <c r="L23">
        <v>42.509444536154845</v>
      </c>
      <c r="M23">
        <v>40.313455271398503</v>
      </c>
      <c r="N23">
        <v>42.019937311238841</v>
      </c>
      <c r="O23">
        <v>38.048582398042484</v>
      </c>
      <c r="P23">
        <v>39.607147977546227</v>
      </c>
      <c r="Q23">
        <v>40.0984282231016</v>
      </c>
      <c r="R23">
        <v>39.880432073649359</v>
      </c>
    </row>
    <row r="24" spans="1:18" x14ac:dyDescent="0.3">
      <c r="A24">
        <v>0.4200000000000001</v>
      </c>
      <c r="B24">
        <v>46.154206477688867</v>
      </c>
      <c r="C24">
        <v>36.317654434103247</v>
      </c>
      <c r="D24">
        <v>41.88551750082118</v>
      </c>
      <c r="E24">
        <v>41.88551750082118</v>
      </c>
      <c r="I24">
        <v>43.363317145864983</v>
      </c>
      <c r="J24">
        <v>42.824230430220453</v>
      </c>
      <c r="K24">
        <v>37.133980958061628</v>
      </c>
      <c r="L24">
        <v>42.171280112484041</v>
      </c>
      <c r="M24">
        <v>40.293070957699918</v>
      </c>
      <c r="N24">
        <v>41.77447237006426</v>
      </c>
      <c r="O24">
        <v>38.336331195203527</v>
      </c>
      <c r="P24">
        <v>39.740070025680282</v>
      </c>
      <c r="Q24">
        <v>39.682048331395059</v>
      </c>
      <c r="R24">
        <v>39.926438594129657</v>
      </c>
    </row>
    <row r="25" spans="1:18" x14ac:dyDescent="0.3">
      <c r="A25">
        <v>0.44000000000000011</v>
      </c>
      <c r="B25">
        <v>46.102760469515729</v>
      </c>
      <c r="C25">
        <v>36.422097717963936</v>
      </c>
      <c r="D25">
        <v>41.854390746355087</v>
      </c>
      <c r="E25">
        <v>41.854390746355087</v>
      </c>
      <c r="I25">
        <v>43.364891048817746</v>
      </c>
      <c r="J25">
        <v>43.430091712875949</v>
      </c>
      <c r="K25">
        <v>37.263219833594626</v>
      </c>
      <c r="L25">
        <v>42.179624734679827</v>
      </c>
      <c r="M25">
        <v>40.936844960429198</v>
      </c>
      <c r="N25">
        <v>41.782947041558351</v>
      </c>
      <c r="O25">
        <v>37.922632128338577</v>
      </c>
      <c r="P25">
        <v>40.047626521390342</v>
      </c>
      <c r="Q25">
        <v>39.983390752430246</v>
      </c>
      <c r="R25">
        <v>40.19610591227147</v>
      </c>
    </row>
    <row r="26" spans="1:18" x14ac:dyDescent="0.3">
      <c r="A26">
        <v>0.46000000000000013</v>
      </c>
      <c r="B26">
        <v>46.911648250455947</v>
      </c>
      <c r="C26">
        <v>35.922896845605152</v>
      </c>
      <c r="D26">
        <v>42.098066187255199</v>
      </c>
      <c r="E26">
        <v>42.098066187255199</v>
      </c>
      <c r="I26">
        <v>44.540815571204753</v>
      </c>
      <c r="J26">
        <v>43.414472318408713</v>
      </c>
      <c r="K26">
        <v>37.197418134043005</v>
      </c>
      <c r="L26">
        <v>41.921757533712984</v>
      </c>
      <c r="M26">
        <v>40.720670307685204</v>
      </c>
      <c r="N26">
        <v>41.931403918089131</v>
      </c>
      <c r="O26">
        <v>38.258198818858276</v>
      </c>
      <c r="P26">
        <v>39.924107199836179</v>
      </c>
      <c r="Q26">
        <v>39.939076323955788</v>
      </c>
      <c r="R26">
        <v>39.90676607884857</v>
      </c>
    </row>
    <row r="27" spans="1:18" x14ac:dyDescent="0.3">
      <c r="A27">
        <v>0.48000000000000015</v>
      </c>
      <c r="B27">
        <v>47.605405109423238</v>
      </c>
      <c r="C27">
        <v>35.525372389190728</v>
      </c>
      <c r="D27">
        <v>42.299382667439524</v>
      </c>
      <c r="E27">
        <v>42.299382667439524</v>
      </c>
      <c r="I27">
        <v>45.090158378350878</v>
      </c>
      <c r="J27">
        <v>43.125225905905701</v>
      </c>
      <c r="K27">
        <v>37.029139824767412</v>
      </c>
      <c r="L27">
        <v>41.701763760080638</v>
      </c>
      <c r="M27">
        <v>40.644481059480064</v>
      </c>
      <c r="N27">
        <v>42.336110690305041</v>
      </c>
      <c r="O27">
        <v>38.466168139775249</v>
      </c>
      <c r="P27">
        <v>40.442082136147377</v>
      </c>
      <c r="Q27">
        <v>39.810871565419902</v>
      </c>
      <c r="R27">
        <v>39.876964452441236</v>
      </c>
    </row>
    <row r="28" spans="1:18" x14ac:dyDescent="0.3">
      <c r="A28">
        <v>0.50000000000000011</v>
      </c>
      <c r="B28">
        <v>47.600142908113128</v>
      </c>
      <c r="C28">
        <v>35.594978830605463</v>
      </c>
      <c r="D28">
        <v>42.283287138609445</v>
      </c>
      <c r="E28">
        <v>42.283287138609445</v>
      </c>
      <c r="I28">
        <v>44.739031786653939</v>
      </c>
      <c r="J28">
        <v>42.586251397237675</v>
      </c>
      <c r="K28">
        <v>36.701671995359732</v>
      </c>
      <c r="L28">
        <v>41.601214598773879</v>
      </c>
      <c r="M28">
        <v>40.628318169640622</v>
      </c>
      <c r="N28">
        <v>42.0481470215245</v>
      </c>
      <c r="O28">
        <v>38.784625562059993</v>
      </c>
      <c r="P28">
        <v>40.434077082305549</v>
      </c>
      <c r="Q28">
        <v>40.257921473627583</v>
      </c>
      <c r="R28">
        <v>39.724625058847955</v>
      </c>
    </row>
    <row r="29" spans="1:18" x14ac:dyDescent="0.3">
      <c r="A29">
        <v>0.52000000000000013</v>
      </c>
      <c r="B29">
        <v>47.555906829067965</v>
      </c>
      <c r="C29">
        <v>35.689959899500124</v>
      </c>
      <c r="D29">
        <v>42.255322988539149</v>
      </c>
      <c r="E29">
        <v>42.255322988539149</v>
      </c>
      <c r="I29">
        <v>44.670116305823868</v>
      </c>
      <c r="J29">
        <v>42.75419160792471</v>
      </c>
      <c r="K29">
        <v>36.861720353371567</v>
      </c>
      <c r="L29">
        <v>41.43733774199768</v>
      </c>
      <c r="M29">
        <v>40.684324360159628</v>
      </c>
      <c r="N29">
        <v>42.037750843313233</v>
      </c>
      <c r="O29">
        <v>38.714178591353367</v>
      </c>
      <c r="P29">
        <v>40.865147401568024</v>
      </c>
      <c r="Q29">
        <v>40.77843960895698</v>
      </c>
      <c r="R29">
        <v>39.801104068406225</v>
      </c>
    </row>
    <row r="30" spans="1:18" x14ac:dyDescent="0.3">
      <c r="A30">
        <v>0.54000000000000015</v>
      </c>
      <c r="B30">
        <v>48.095838897807532</v>
      </c>
      <c r="C30">
        <v>35.405532366164266</v>
      </c>
      <c r="D30">
        <v>42.405460881747906</v>
      </c>
      <c r="E30">
        <v>42.405460881747906</v>
      </c>
      <c r="I30">
        <v>44.059706913342367</v>
      </c>
      <c r="J30">
        <v>42.65404261601708</v>
      </c>
      <c r="K30">
        <v>37.349616769373796</v>
      </c>
      <c r="L30">
        <v>41.476482554676792</v>
      </c>
      <c r="M30">
        <v>40.896699996323072</v>
      </c>
      <c r="N30">
        <v>42.074109135601994</v>
      </c>
      <c r="O30">
        <v>38.942431615317084</v>
      </c>
      <c r="P30">
        <v>40.937015000957715</v>
      </c>
      <c r="Q30">
        <v>40.696828885667294</v>
      </c>
      <c r="R30">
        <v>40.162464869235052</v>
      </c>
    </row>
    <row r="31" spans="1:18" x14ac:dyDescent="0.3">
      <c r="A31">
        <v>0.56000000000000016</v>
      </c>
      <c r="B31">
        <v>48.625636271718676</v>
      </c>
      <c r="C31">
        <v>35.136692886163914</v>
      </c>
      <c r="D31">
        <v>42.549877367951218</v>
      </c>
      <c r="E31">
        <v>42.549877367951218</v>
      </c>
      <c r="I31">
        <v>44.848616097595944</v>
      </c>
      <c r="J31">
        <v>42.376495974911208</v>
      </c>
      <c r="K31">
        <v>37.90999076277258</v>
      </c>
      <c r="L31">
        <v>41.791292232648239</v>
      </c>
      <c r="M31">
        <v>40.447886695382962</v>
      </c>
      <c r="N31">
        <v>41.77833161095095</v>
      </c>
      <c r="O31">
        <v>39.518029592491146</v>
      </c>
      <c r="P31">
        <v>40.65530051775648</v>
      </c>
      <c r="Q31">
        <v>40.522067698911229</v>
      </c>
      <c r="R31">
        <v>40.754281474454551</v>
      </c>
    </row>
    <row r="32" spans="1:18" x14ac:dyDescent="0.3">
      <c r="A32">
        <v>0.58000000000000018</v>
      </c>
      <c r="B32">
        <v>48.254273189801658</v>
      </c>
      <c r="C32">
        <v>35.429806587775275</v>
      </c>
      <c r="D32">
        <v>42.426014914354376</v>
      </c>
      <c r="E32">
        <v>42.426014914354376</v>
      </c>
      <c r="I32">
        <v>45.24540216333795</v>
      </c>
      <c r="J32">
        <v>42.723146251368824</v>
      </c>
      <c r="K32">
        <v>37.668619143192977</v>
      </c>
      <c r="L32">
        <v>41.403764665583118</v>
      </c>
      <c r="M32">
        <v>40.889460944910702</v>
      </c>
      <c r="N32">
        <v>41.943991486142366</v>
      </c>
      <c r="O32">
        <v>39.274958871526081</v>
      </c>
      <c r="P32">
        <v>39.578589945177576</v>
      </c>
      <c r="Q32">
        <v>40.596201488303947</v>
      </c>
      <c r="R32">
        <v>40.397127355570454</v>
      </c>
    </row>
    <row r="33" spans="1:18" x14ac:dyDescent="0.3">
      <c r="A33">
        <v>0.6000000000000002</v>
      </c>
      <c r="B33">
        <v>48.473790551398629</v>
      </c>
      <c r="C33">
        <v>35.357487387531293</v>
      </c>
      <c r="D33">
        <v>42.477107761395757</v>
      </c>
      <c r="E33">
        <v>42.477107761395757</v>
      </c>
      <c r="I33">
        <v>45.883786377280977</v>
      </c>
      <c r="J33">
        <v>43.253777422863401</v>
      </c>
      <c r="K33">
        <v>37.35422524376677</v>
      </c>
      <c r="L33">
        <v>41.398341300014877</v>
      </c>
      <c r="M33">
        <v>40.676609568961254</v>
      </c>
      <c r="N33">
        <v>41.509100519057895</v>
      </c>
      <c r="O33">
        <v>40.149631661826255</v>
      </c>
      <c r="P33">
        <v>39.439284487091562</v>
      </c>
      <c r="Q33">
        <v>40.583117426059211</v>
      </c>
      <c r="R33">
        <v>40.581312370357736</v>
      </c>
    </row>
    <row r="34" spans="1:18" x14ac:dyDescent="0.3">
      <c r="A34">
        <v>0.62000000000000022</v>
      </c>
      <c r="B34">
        <v>48.284749159285894</v>
      </c>
      <c r="C34">
        <v>35.540807829852398</v>
      </c>
      <c r="D34">
        <v>42.406730736561165</v>
      </c>
      <c r="E34">
        <v>42.406730736561165</v>
      </c>
      <c r="I34">
        <v>44.844721034743969</v>
      </c>
      <c r="J34">
        <v>43.403710851504215</v>
      </c>
      <c r="K34">
        <v>37.516940833316525</v>
      </c>
      <c r="L34">
        <v>41.497541866254537</v>
      </c>
      <c r="M34">
        <v>40.64774287687424</v>
      </c>
      <c r="N34">
        <v>41.351790351694497</v>
      </c>
      <c r="O34">
        <v>40.578273972141325</v>
      </c>
      <c r="P34">
        <v>39.712471920018835</v>
      </c>
      <c r="Q34">
        <v>40.789179430446367</v>
      </c>
      <c r="R34">
        <v>40.411024826810085</v>
      </c>
    </row>
    <row r="35" spans="1:18" x14ac:dyDescent="0.3">
      <c r="A35">
        <v>0.64000000000000024</v>
      </c>
      <c r="B35">
        <v>48.312264817862967</v>
      </c>
      <c r="C35">
        <v>35.589464397453412</v>
      </c>
      <c r="D35">
        <v>42.400540567488562</v>
      </c>
      <c r="E35">
        <v>42.400540567488562</v>
      </c>
      <c r="I35">
        <v>44.293454599245386</v>
      </c>
      <c r="J35">
        <v>43.377399860255998</v>
      </c>
      <c r="K35">
        <v>36.877981743958586</v>
      </c>
      <c r="L35">
        <v>40.601296305423233</v>
      </c>
      <c r="M35">
        <v>40.889199048817012</v>
      </c>
      <c r="N35">
        <v>41.599702529896319</v>
      </c>
      <c r="O35">
        <v>41.100280712426709</v>
      </c>
      <c r="P35">
        <v>39.138518674784827</v>
      </c>
      <c r="Q35">
        <v>40.160063695353976</v>
      </c>
      <c r="R35">
        <v>40.594659954597354</v>
      </c>
    </row>
    <row r="36" spans="1:18" x14ac:dyDescent="0.3">
      <c r="A36">
        <v>0.66000000000000025</v>
      </c>
      <c r="B36">
        <v>48.798561964456937</v>
      </c>
      <c r="C36">
        <v>35.348133301052144</v>
      </c>
      <c r="D36">
        <v>42.530969225017749</v>
      </c>
      <c r="E36">
        <v>42.530969225017749</v>
      </c>
      <c r="I36">
        <v>44.126948365428696</v>
      </c>
      <c r="J36">
        <v>42.934260665849216</v>
      </c>
      <c r="K36">
        <v>36.880356583146131</v>
      </c>
      <c r="L36">
        <v>40.634707736950105</v>
      </c>
      <c r="M36">
        <v>41.391350884452947</v>
      </c>
      <c r="N36">
        <v>41.827304448072347</v>
      </c>
      <c r="O36">
        <v>41.451004309512292</v>
      </c>
      <c r="P36">
        <v>39.080979692263845</v>
      </c>
      <c r="Q36">
        <v>40.83288813262876</v>
      </c>
      <c r="R36">
        <v>40.690555849973165</v>
      </c>
    </row>
    <row r="37" spans="1:18" x14ac:dyDescent="0.3">
      <c r="A37">
        <v>0.68000000000000027</v>
      </c>
      <c r="B37">
        <v>48.962322802668332</v>
      </c>
      <c r="C37">
        <v>35.31260619406725</v>
      </c>
      <c r="D37">
        <v>42.564693670552366</v>
      </c>
      <c r="E37">
        <v>42.564693670552366</v>
      </c>
      <c r="I37">
        <v>44.429151692798364</v>
      </c>
      <c r="J37">
        <v>43.2998031440817</v>
      </c>
      <c r="K37">
        <v>36.946596484511346</v>
      </c>
      <c r="L37">
        <v>40.49260539000381</v>
      </c>
      <c r="M37">
        <v>42.460701665307745</v>
      </c>
      <c r="N37">
        <v>42.358398300917422</v>
      </c>
      <c r="O37">
        <v>42.076824652597253</v>
      </c>
      <c r="P37">
        <v>38.998709644816749</v>
      </c>
      <c r="Q37">
        <v>40.200279488931002</v>
      </c>
      <c r="R37">
        <v>41.02519325578448</v>
      </c>
    </row>
    <row r="38" spans="1:18" x14ac:dyDescent="0.3">
      <c r="A38">
        <v>0.70000000000000029</v>
      </c>
      <c r="B38">
        <v>49.10773576371669</v>
      </c>
      <c r="C38">
        <v>35.288843390399514</v>
      </c>
      <c r="D38">
        <v>42.592845854181611</v>
      </c>
      <c r="E38">
        <v>42.592845854181611</v>
      </c>
      <c r="I38">
        <v>44.345108282175083</v>
      </c>
      <c r="J38">
        <v>43.343960919200718</v>
      </c>
      <c r="K38">
        <v>37.329395563764109</v>
      </c>
      <c r="L38">
        <v>40.133921832036613</v>
      </c>
      <c r="M38">
        <v>42.028861291534305</v>
      </c>
      <c r="N38">
        <v>42.300133547701812</v>
      </c>
      <c r="O38">
        <v>42.062780776598764</v>
      </c>
      <c r="P38">
        <v>38.662512444950529</v>
      </c>
      <c r="Q38">
        <v>40.098305273359962</v>
      </c>
      <c r="R38">
        <v>40.868873564002513</v>
      </c>
    </row>
    <row r="39" spans="1:18" x14ac:dyDescent="0.3">
      <c r="A39">
        <v>0.72000000000000031</v>
      </c>
      <c r="B39">
        <v>49.076725307053927</v>
      </c>
      <c r="C39">
        <v>35.372937019867841</v>
      </c>
      <c r="D39">
        <v>42.569564605118821</v>
      </c>
      <c r="E39">
        <v>42.569564605118821</v>
      </c>
      <c r="I39">
        <v>44.032046846485102</v>
      </c>
      <c r="J39">
        <v>43.279326473691583</v>
      </c>
      <c r="K39">
        <v>37.557185058454692</v>
      </c>
      <c r="L39">
        <v>39.705472012861215</v>
      </c>
      <c r="M39">
        <v>41.866442527659977</v>
      </c>
      <c r="N39">
        <v>42.544627828894264</v>
      </c>
      <c r="O39">
        <v>42.551970070250206</v>
      </c>
      <c r="P39">
        <v>38.504235547851593</v>
      </c>
      <c r="Q39">
        <v>40.326602692634609</v>
      </c>
      <c r="R39">
        <v>40.391863275151046</v>
      </c>
    </row>
    <row r="40" spans="1:18" x14ac:dyDescent="0.3">
      <c r="A40">
        <v>0.74000000000000032</v>
      </c>
      <c r="B40">
        <v>49.630211113998726</v>
      </c>
      <c r="C40">
        <v>35.09965289767149</v>
      </c>
      <c r="D40">
        <v>42.716277921018815</v>
      </c>
      <c r="E40">
        <v>42.716277921018815</v>
      </c>
      <c r="I40">
        <v>44.3824225591678</v>
      </c>
      <c r="J40">
        <v>43.554604861917049</v>
      </c>
      <c r="K40">
        <v>37.154523631136257</v>
      </c>
      <c r="L40">
        <v>40.223821536009204</v>
      </c>
      <c r="M40">
        <v>42.887817189751829</v>
      </c>
      <c r="N40">
        <v>41.746525532017742</v>
      </c>
      <c r="O40">
        <v>42.810045942975947</v>
      </c>
      <c r="P40">
        <v>38.778998600154097</v>
      </c>
      <c r="Q40">
        <v>40.625984639709905</v>
      </c>
      <c r="R40">
        <v>40.636068823884138</v>
      </c>
    </row>
    <row r="41" spans="1:18" x14ac:dyDescent="0.3">
      <c r="A41">
        <v>0.76000000000000034</v>
      </c>
      <c r="B41">
        <v>49.665732797608179</v>
      </c>
      <c r="C41">
        <v>35.143143608856789</v>
      </c>
      <c r="D41">
        <v>42.712242744800967</v>
      </c>
      <c r="E41">
        <v>42.712242744800967</v>
      </c>
      <c r="I41">
        <v>44.184911806859191</v>
      </c>
      <c r="J41">
        <v>43.781293718018418</v>
      </c>
      <c r="K41">
        <v>37.407121334347579</v>
      </c>
      <c r="L41">
        <v>40.774604263764331</v>
      </c>
      <c r="M41">
        <v>43.48082740666851</v>
      </c>
      <c r="N41">
        <v>41.784858740168929</v>
      </c>
      <c r="O41">
        <v>42.97195725490873</v>
      </c>
      <c r="P41">
        <v>38.895686605133662</v>
      </c>
      <c r="Q41">
        <v>40.852551708460545</v>
      </c>
      <c r="R41">
        <v>40.59059455156099</v>
      </c>
    </row>
    <row r="42" spans="1:18" x14ac:dyDescent="0.3">
      <c r="A42">
        <v>0.78000000000000036</v>
      </c>
      <c r="B42">
        <v>50.181151833609484</v>
      </c>
      <c r="C42">
        <v>34.901062269000953</v>
      </c>
      <c r="D42">
        <v>42.845309838658686</v>
      </c>
      <c r="E42">
        <v>42.845309838658686</v>
      </c>
      <c r="I42">
        <v>44.81613324330754</v>
      </c>
      <c r="J42">
        <v>43.548973461826876</v>
      </c>
      <c r="K42">
        <v>37.703384262742809</v>
      </c>
      <c r="L42">
        <v>41.082409915219472</v>
      </c>
      <c r="M42">
        <v>42.999058134468193</v>
      </c>
      <c r="N42">
        <v>41.869379496362804</v>
      </c>
      <c r="O42">
        <v>43.668088177442442</v>
      </c>
      <c r="P42">
        <v>38.368375219026959</v>
      </c>
      <c r="Q42">
        <v>41.171149813802963</v>
      </c>
      <c r="R42">
        <v>40.245629380258045</v>
      </c>
    </row>
    <row r="43" spans="1:18" x14ac:dyDescent="0.3">
      <c r="A43">
        <v>0.80000000000000038</v>
      </c>
      <c r="B43">
        <v>51.050137112873287</v>
      </c>
      <c r="C43">
        <v>34.461036120450274</v>
      </c>
      <c r="D43">
        <v>43.075649691305927</v>
      </c>
      <c r="E43">
        <v>43.075649691305927</v>
      </c>
      <c r="I43">
        <v>45.41931238818924</v>
      </c>
      <c r="J43">
        <v>44.00565893898159</v>
      </c>
      <c r="K43">
        <v>38.107533452697211</v>
      </c>
      <c r="L43">
        <v>41.196979784882735</v>
      </c>
      <c r="M43">
        <v>43.39942641973937</v>
      </c>
      <c r="N43">
        <v>41.598025874507336</v>
      </c>
      <c r="O43">
        <v>44.040548722343011</v>
      </c>
      <c r="P43">
        <v>38.062501175353304</v>
      </c>
      <c r="Q43">
        <v>41.628281062917381</v>
      </c>
      <c r="R43">
        <v>40.293184363087867</v>
      </c>
    </row>
    <row r="44" spans="1:18" x14ac:dyDescent="0.3">
      <c r="A44">
        <v>0.8200000000000004</v>
      </c>
      <c r="B44">
        <v>49.753345985170505</v>
      </c>
      <c r="C44">
        <v>35.24303963408213</v>
      </c>
      <c r="D44">
        <v>42.706125071301386</v>
      </c>
      <c r="E44">
        <v>42.706125071301386</v>
      </c>
      <c r="I44">
        <v>44.692245069048901</v>
      </c>
      <c r="J44">
        <v>44.172502724066106</v>
      </c>
      <c r="K44">
        <v>38.110417110830397</v>
      </c>
      <c r="L44">
        <v>41.123522932715105</v>
      </c>
      <c r="M44">
        <v>43.451429915709326</v>
      </c>
      <c r="N44">
        <v>40.781443965478097</v>
      </c>
      <c r="O44">
        <v>44.516976576656319</v>
      </c>
      <c r="P44">
        <v>37.985950741119332</v>
      </c>
      <c r="Q44">
        <v>41.802067353539094</v>
      </c>
      <c r="R44">
        <v>40.653828254057558</v>
      </c>
    </row>
    <row r="45" spans="1:18" x14ac:dyDescent="0.3">
      <c r="A45">
        <v>0.84000000000000041</v>
      </c>
      <c r="B45">
        <v>49.142401612362576</v>
      </c>
      <c r="C45">
        <v>35.672176709803864</v>
      </c>
      <c r="D45">
        <v>42.517860167027372</v>
      </c>
      <c r="E45">
        <v>42.517860167027372</v>
      </c>
      <c r="I45">
        <v>45.337882922298398</v>
      </c>
      <c r="J45">
        <v>44.135864722417587</v>
      </c>
      <c r="K45">
        <v>38.250099177808352</v>
      </c>
      <c r="L45">
        <v>41.17518095682879</v>
      </c>
      <c r="M45">
        <v>43.576991924557603</v>
      </c>
      <c r="N45">
        <v>40.503822597465494</v>
      </c>
      <c r="O45">
        <v>45.088429451099742</v>
      </c>
      <c r="P45">
        <v>37.679245189917559</v>
      </c>
      <c r="Q45">
        <v>41.838291101337312</v>
      </c>
      <c r="R45">
        <v>40.716579820436507</v>
      </c>
    </row>
    <row r="46" spans="1:18" x14ac:dyDescent="0.3">
      <c r="A46">
        <v>0.86000000000000043</v>
      </c>
      <c r="B46">
        <v>48.819243944101792</v>
      </c>
      <c r="C46">
        <v>35.938100651815645</v>
      </c>
      <c r="D46">
        <v>42.409789320717891</v>
      </c>
      <c r="E46">
        <v>42.409789320717891</v>
      </c>
      <c r="I46">
        <v>45.944272071488491</v>
      </c>
      <c r="J46">
        <v>43.378088596101435</v>
      </c>
      <c r="K46">
        <v>38.48769029219234</v>
      </c>
      <c r="L46">
        <v>40.619458195640121</v>
      </c>
      <c r="M46">
        <v>43.870115017115666</v>
      </c>
      <c r="N46">
        <v>40.440355208378364</v>
      </c>
      <c r="O46">
        <v>45.127638857775722</v>
      </c>
      <c r="P46">
        <v>37.562652574323813</v>
      </c>
      <c r="Q46">
        <v>41.150601454212435</v>
      </c>
      <c r="R46">
        <v>40.64024402819895</v>
      </c>
    </row>
    <row r="47" spans="1:18" x14ac:dyDescent="0.3">
      <c r="A47">
        <v>0.88000000000000045</v>
      </c>
      <c r="B47">
        <v>48.081199684220195</v>
      </c>
      <c r="C47">
        <v>36.471026302589586</v>
      </c>
      <c r="D47">
        <v>42.179107787923478</v>
      </c>
      <c r="E47">
        <v>42.179107787923478</v>
      </c>
      <c r="I47">
        <v>45.574401049001935</v>
      </c>
      <c r="J47">
        <v>43.833357198458827</v>
      </c>
      <c r="K47">
        <v>38.426049645929652</v>
      </c>
      <c r="L47">
        <v>40.338765663441897</v>
      </c>
      <c r="M47">
        <v>44.194385285360163</v>
      </c>
      <c r="N47">
        <v>40.934648560524629</v>
      </c>
      <c r="O47">
        <v>45.570256071179031</v>
      </c>
      <c r="P47">
        <v>37.265929495193497</v>
      </c>
      <c r="Q47">
        <v>41.363812107731817</v>
      </c>
      <c r="R47">
        <v>40.294597959579178</v>
      </c>
    </row>
    <row r="48" spans="1:18" x14ac:dyDescent="0.3">
      <c r="A48">
        <v>0.90000000000000047</v>
      </c>
      <c r="B48">
        <v>48.347082253939952</v>
      </c>
      <c r="C48">
        <v>36.363610963857937</v>
      </c>
      <c r="D48">
        <v>42.244435532465481</v>
      </c>
      <c r="E48">
        <v>42.244435532465481</v>
      </c>
      <c r="I48">
        <v>45.307590966530533</v>
      </c>
      <c r="J48">
        <v>44.167356390723846</v>
      </c>
      <c r="K48">
        <v>38.074974929903433</v>
      </c>
      <c r="L48">
        <v>40.122434966224894</v>
      </c>
      <c r="M48">
        <v>43.84465654269512</v>
      </c>
      <c r="N48">
        <v>41.036988900997855</v>
      </c>
      <c r="O48">
        <v>45.402808379180705</v>
      </c>
      <c r="P48">
        <v>37.700799223973263</v>
      </c>
      <c r="Q48">
        <v>41.516546289396935</v>
      </c>
      <c r="R48">
        <v>40.320527211638371</v>
      </c>
    </row>
    <row r="49" spans="1:18" x14ac:dyDescent="0.3">
      <c r="A49">
        <v>0.92000000000000048</v>
      </c>
      <c r="B49">
        <v>47.866179470762688</v>
      </c>
      <c r="C49">
        <v>36.745202450734823</v>
      </c>
      <c r="D49">
        <v>42.086999059421338</v>
      </c>
      <c r="E49">
        <v>42.086999059421338</v>
      </c>
      <c r="I49">
        <v>44.753908601553469</v>
      </c>
      <c r="J49">
        <v>43.301868102182958</v>
      </c>
      <c r="K49">
        <v>38.215607326686843</v>
      </c>
      <c r="L49">
        <v>40.29476040710454</v>
      </c>
      <c r="M49">
        <v>44.122202138997189</v>
      </c>
      <c r="N49">
        <v>41.304294046046948</v>
      </c>
      <c r="O49">
        <v>44.700313157679062</v>
      </c>
      <c r="P49">
        <v>37.841981525310004</v>
      </c>
      <c r="Q49">
        <v>41.56795166000424</v>
      </c>
      <c r="R49">
        <v>40.173545145613389</v>
      </c>
    </row>
    <row r="50" spans="1:18" x14ac:dyDescent="0.3">
      <c r="A50">
        <v>0.9400000000000005</v>
      </c>
      <c r="B50">
        <v>48.191767722768759</v>
      </c>
      <c r="C50">
        <v>36.595151375782955</v>
      </c>
      <c r="D50">
        <v>42.170861452335323</v>
      </c>
      <c r="E50">
        <v>42.170861452335323</v>
      </c>
      <c r="I50">
        <v>44.906591344392538</v>
      </c>
      <c r="J50">
        <v>43.687152737096426</v>
      </c>
      <c r="K50">
        <v>38.640199430287126</v>
      </c>
      <c r="L50">
        <v>40.317008881720383</v>
      </c>
      <c r="M50">
        <v>44.197616553660218</v>
      </c>
      <c r="N50">
        <v>41.150205164023937</v>
      </c>
      <c r="O50">
        <v>44.751858775928021</v>
      </c>
      <c r="P50">
        <v>38.569706623150303</v>
      </c>
      <c r="Q50">
        <v>41.635217587151025</v>
      </c>
      <c r="R50">
        <v>40.315152360703884</v>
      </c>
    </row>
    <row r="51" spans="1:18" x14ac:dyDescent="0.3">
      <c r="A51">
        <v>0.96000000000000052</v>
      </c>
      <c r="B51">
        <v>48.882645764844064</v>
      </c>
      <c r="C51">
        <v>36.20646642711899</v>
      </c>
      <c r="D51">
        <v>42.362966926039817</v>
      </c>
      <c r="E51">
        <v>42.362966926039817</v>
      </c>
      <c r="I51">
        <v>44.689451784330977</v>
      </c>
      <c r="J51">
        <v>43.793668261789371</v>
      </c>
      <c r="K51">
        <v>38.508899925696419</v>
      </c>
      <c r="L51">
        <v>40.802666836502446</v>
      </c>
      <c r="M51">
        <v>44.475541222078569</v>
      </c>
      <c r="N51">
        <v>41.248667282364188</v>
      </c>
      <c r="O51">
        <v>44.422449870186206</v>
      </c>
      <c r="P51">
        <v>38.574008873066639</v>
      </c>
      <c r="Q51">
        <v>41.960916450633988</v>
      </c>
      <c r="R51">
        <v>40.377939056311156</v>
      </c>
    </row>
    <row r="52" spans="1:18" x14ac:dyDescent="0.3">
      <c r="A52">
        <v>0.98000000000000054</v>
      </c>
      <c r="B52">
        <v>48.910528568101888</v>
      </c>
      <c r="C52">
        <v>36.256059274942906</v>
      </c>
      <c r="D52">
        <v>42.356822462356533</v>
      </c>
      <c r="E52">
        <v>42.356822462356533</v>
      </c>
      <c r="I52">
        <v>44.912770609160781</v>
      </c>
      <c r="J52">
        <v>43.554285024493183</v>
      </c>
      <c r="K52">
        <v>38.148693575762969</v>
      </c>
      <c r="L52">
        <v>40.479676011815279</v>
      </c>
      <c r="M52">
        <v>45.289844040155891</v>
      </c>
      <c r="N52">
        <v>40.943795758074799</v>
      </c>
      <c r="O52">
        <v>44.333536142866151</v>
      </c>
      <c r="P52">
        <v>38.661267661145445</v>
      </c>
      <c r="Q52">
        <v>42.279787284092464</v>
      </c>
      <c r="R52">
        <v>40.624267840990768</v>
      </c>
    </row>
    <row r="53" spans="1:18" x14ac:dyDescent="0.3">
      <c r="A53">
        <v>1.0000000000000004</v>
      </c>
      <c r="B53">
        <v>48.522125848929186</v>
      </c>
      <c r="C53">
        <v>36.571415437279455</v>
      </c>
      <c r="D53">
        <v>42.228975886844459</v>
      </c>
      <c r="E53">
        <v>42.228975886844459</v>
      </c>
      <c r="I53">
        <v>45.115349731413453</v>
      </c>
      <c r="J53">
        <v>43.524778849773568</v>
      </c>
      <c r="K53">
        <v>38.06393683935606</v>
      </c>
      <c r="L53">
        <v>39.762119844279205</v>
      </c>
      <c r="M53">
        <v>45.907470818106503</v>
      </c>
      <c r="N53">
        <v>41.759973255678588</v>
      </c>
      <c r="O53">
        <v>44.128772886279904</v>
      </c>
      <c r="P53">
        <v>39.219785421027318</v>
      </c>
      <c r="Q53">
        <v>42.241492893066599</v>
      </c>
      <c r="R53">
        <v>40.073151132589068</v>
      </c>
    </row>
  </sheetData>
  <mergeCells count="3">
    <mergeCell ref="A1:E1"/>
    <mergeCell ref="F1:H1"/>
    <mergeCell ref="I1:R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634B-7EF1-42BE-96E6-71F4B7F8596C}">
  <sheetPr codeName="Sheet4"/>
  <dimension ref="A1:E24"/>
  <sheetViews>
    <sheetView workbookViewId="0">
      <selection activeCell="F8" sqref="F8"/>
    </sheetView>
  </sheetViews>
  <sheetFormatPr defaultRowHeight="14.4" x14ac:dyDescent="0.3"/>
  <sheetData>
    <row r="1" spans="1:5" x14ac:dyDescent="0.3">
      <c r="A1" s="1" t="s">
        <v>13</v>
      </c>
    </row>
    <row r="2" spans="1:5" x14ac:dyDescent="0.3">
      <c r="A2" t="s">
        <v>14</v>
      </c>
      <c r="B2" t="s">
        <v>18</v>
      </c>
      <c r="C2" t="s">
        <v>41</v>
      </c>
      <c r="D2" t="s">
        <v>19</v>
      </c>
      <c r="E2" t="s">
        <v>15</v>
      </c>
    </row>
    <row r="3" spans="1:5" x14ac:dyDescent="0.3">
      <c r="A3" t="s">
        <v>20</v>
      </c>
      <c r="B3">
        <v>5.7083765701168767</v>
      </c>
      <c r="C3">
        <v>5.7484255848069559</v>
      </c>
      <c r="D3">
        <v>5.788474599497035</v>
      </c>
      <c r="E3">
        <v>0.10199999809265137</v>
      </c>
    </row>
    <row r="4" spans="1:5" x14ac:dyDescent="0.3">
      <c r="A4" t="s">
        <v>21</v>
      </c>
      <c r="B4">
        <v>5.7020226011512429</v>
      </c>
      <c r="C4">
        <v>5.7200068289386232</v>
      </c>
      <c r="D4">
        <v>5.7379910567260035</v>
      </c>
      <c r="E4">
        <v>0.625</v>
      </c>
    </row>
    <row r="5" spans="1:5" x14ac:dyDescent="0.3">
      <c r="A5" t="s">
        <v>22</v>
      </c>
      <c r="B5">
        <v>5.6826148061920536</v>
      </c>
      <c r="C5">
        <v>5.724049457201775</v>
      </c>
      <c r="D5">
        <v>5.7654841082114965</v>
      </c>
      <c r="E5">
        <v>0.164000004529953</v>
      </c>
    </row>
    <row r="6" spans="1:5" x14ac:dyDescent="0.3">
      <c r="A6" t="s">
        <v>16</v>
      </c>
      <c r="B6">
        <v>5.6425935229493547</v>
      </c>
      <c r="C6">
        <v>5.6818257803993371</v>
      </c>
      <c r="D6">
        <v>5.7210580378493194</v>
      </c>
      <c r="E6">
        <v>8.5999999999999993E-2</v>
      </c>
    </row>
    <row r="7" spans="1:5" x14ac:dyDescent="0.3">
      <c r="A7" t="s">
        <v>17</v>
      </c>
      <c r="B7">
        <v>5.6999833744913699</v>
      </c>
      <c r="C7">
        <v>5.7196155137002256</v>
      </c>
      <c r="D7">
        <v>5.7392476529090812</v>
      </c>
      <c r="E7">
        <v>7.0000000000000007E-2</v>
      </c>
    </row>
    <row r="8" spans="1:5" x14ac:dyDescent="0.3">
      <c r="A8" t="s">
        <v>23</v>
      </c>
      <c r="B8">
        <v>5.6615282330097605</v>
      </c>
      <c r="C8">
        <v>5.7006401445232804</v>
      </c>
      <c r="D8">
        <v>5.7397520560368003</v>
      </c>
      <c r="E8">
        <v>8.6000002920627594E-2</v>
      </c>
    </row>
    <row r="14" spans="1:5" x14ac:dyDescent="0.3">
      <c r="C14" t="s">
        <v>27</v>
      </c>
    </row>
    <row r="16" spans="1:5" x14ac:dyDescent="0.3">
      <c r="C16" t="s">
        <v>28</v>
      </c>
    </row>
    <row r="17" spans="3:3" x14ac:dyDescent="0.3">
      <c r="C17" t="s">
        <v>29</v>
      </c>
    </row>
    <row r="18" spans="3:3" x14ac:dyDescent="0.3">
      <c r="C18" t="s">
        <v>30</v>
      </c>
    </row>
    <row r="19" spans="3:3" x14ac:dyDescent="0.3">
      <c r="C19" t="s">
        <v>31</v>
      </c>
    </row>
    <row r="20" spans="3:3" x14ac:dyDescent="0.3">
      <c r="C20" t="s">
        <v>35</v>
      </c>
    </row>
    <row r="21" spans="3:3" x14ac:dyDescent="0.3">
      <c r="C21" t="s">
        <v>36</v>
      </c>
    </row>
    <row r="22" spans="3:3" x14ac:dyDescent="0.3">
      <c r="C22" t="s">
        <v>37</v>
      </c>
    </row>
    <row r="23" spans="3:3" x14ac:dyDescent="0.3">
      <c r="C23" t="s">
        <v>42</v>
      </c>
    </row>
    <row r="24" spans="3:3" x14ac:dyDescent="0.3">
      <c r="C24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Dashboard</vt:lpstr>
      <vt:lpstr>trajectoires</vt:lpstr>
      <vt:lpstr>IC</vt:lpstr>
      <vt:lpstr>K_</vt:lpstr>
      <vt:lpstr>n</vt:lpstr>
      <vt:lpstr>n_</vt:lpstr>
      <vt:lpstr>Nd_</vt:lpstr>
      <vt:lpstr>nt_</vt:lpstr>
      <vt:lpstr>Dashboard!parametres</vt:lpstr>
      <vt:lpstr>r_</vt:lpstr>
      <vt:lpstr>Dashboard!S_0</vt:lpstr>
      <vt:lpstr>S0_</vt:lpstr>
      <vt:lpstr>sigma_</vt:lpstr>
      <vt:lpstr>T_</vt:lpstr>
      <vt:lpstr>t0_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2021-11-06T17:46:45Z</dcterms:created>
  <dcterms:modified xsi:type="dcterms:W3CDTF">2021-12-29T20:52:08Z</dcterms:modified>
</cp:coreProperties>
</file>