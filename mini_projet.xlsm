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UCO_actuariat_mini-projet\"/>
    </mc:Choice>
  </mc:AlternateContent>
  <xr:revisionPtr revIDLastSave="0" documentId="13_ncr:1_{626AE421-ADBF-42B4-92E8-8B8E4AFCE9AD}" xr6:coauthVersionLast="47" xr6:coauthVersionMax="47" xr10:uidLastSave="{00000000-0000-0000-0000-000000000000}"/>
  <bookViews>
    <workbookView xWindow="0" yWindow="3396" windowWidth="17280" windowHeight="8964" xr2:uid="{37BB51FA-B421-40C2-8C75-36C11962CC14}"/>
  </bookViews>
  <sheets>
    <sheet name="Dashboard" sheetId="3" r:id="rId1"/>
    <sheet name="trajectoires" sheetId="2" r:id="rId2"/>
    <sheet name="IC" sheetId="4" r:id="rId3"/>
  </sheets>
  <functionGroups builtInGroupCount="19"/>
  <definedNames>
    <definedName name="K_">Dashboard!$C$6</definedName>
    <definedName name="n">Dashboard!$C$10</definedName>
    <definedName name="n_">Dashboard!$C$10</definedName>
    <definedName name="Nd_">Dashboard!$C$13</definedName>
    <definedName name="nt_">Dashboard!$C$14</definedName>
    <definedName name="parametres" localSheetId="0">Dashboard!$A$1:$B$9</definedName>
    <definedName name="parametres">#REF!</definedName>
    <definedName name="r_">Dashboard!$C$7</definedName>
    <definedName name="S_0" localSheetId="0">Dashboard!$A$2</definedName>
    <definedName name="S_0">#REF!</definedName>
    <definedName name="S0_">Dashboard!$C$5</definedName>
    <definedName name="sigma_">Dashboard!$C$8</definedName>
    <definedName name="T_">Dashboard!$C$11</definedName>
    <definedName name="t0_">Dashboard!$C$9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3" l="1"/>
  <c r="O4" i="3"/>
  <c r="P4" i="3"/>
  <c r="Q4" i="3"/>
  <c r="N5" i="3"/>
  <c r="O5" i="3"/>
  <c r="P5" i="3"/>
  <c r="Q5" i="3"/>
  <c r="N6" i="3"/>
  <c r="O6" i="3"/>
  <c r="P6" i="3"/>
  <c r="Q6" i="3"/>
  <c r="N7" i="3"/>
  <c r="O7" i="3"/>
  <c r="P7" i="3"/>
  <c r="Q7" i="3"/>
  <c r="N8" i="3"/>
  <c r="O8" i="3"/>
  <c r="P8" i="3"/>
  <c r="Q8" i="3"/>
  <c r="N9" i="3"/>
  <c r="O9" i="3"/>
  <c r="P9" i="3"/>
  <c r="Q9" i="3"/>
  <c r="N10" i="3"/>
  <c r="O10" i="3"/>
  <c r="P10" i="3"/>
  <c r="Q10" i="3"/>
  <c r="N11" i="3"/>
  <c r="O11" i="3"/>
  <c r="P11" i="3"/>
  <c r="Q11" i="3"/>
  <c r="N12" i="3"/>
  <c r="O12" i="3"/>
  <c r="P12" i="3"/>
  <c r="Q12" i="3"/>
  <c r="N13" i="3"/>
  <c r="O13" i="3"/>
  <c r="P13" i="3"/>
  <c r="Q13" i="3"/>
  <c r="N14" i="3"/>
  <c r="O14" i="3"/>
  <c r="P14" i="3"/>
  <c r="Q14" i="3"/>
  <c r="M5" i="3"/>
  <c r="M6" i="3"/>
  <c r="M7" i="3"/>
  <c r="M8" i="3"/>
  <c r="M9" i="3"/>
  <c r="M10" i="3"/>
  <c r="M11" i="3"/>
  <c r="M12" i="3"/>
  <c r="M13" i="3"/>
  <c r="M14" i="3"/>
  <c r="M4" i="3"/>
  <c r="O23" i="3"/>
  <c r="N19" i="3"/>
  <c r="O19" i="3"/>
  <c r="P19" i="3"/>
  <c r="Q19" i="3"/>
  <c r="N20" i="3"/>
  <c r="O20" i="3"/>
  <c r="P20" i="3"/>
  <c r="Q20" i="3"/>
  <c r="N21" i="3"/>
  <c r="O21" i="3"/>
  <c r="P21" i="3"/>
  <c r="Q21" i="3"/>
  <c r="N22" i="3"/>
  <c r="Q22" i="3"/>
  <c r="N23" i="3"/>
  <c r="Q23" i="3"/>
  <c r="P18" i="3"/>
  <c r="Q18" i="3"/>
  <c r="O18" i="3"/>
  <c r="N18" i="3"/>
  <c r="P23" i="3" l="1"/>
  <c r="P22" i="3"/>
  <c r="O22" i="3"/>
</calcChain>
</file>

<file path=xl/sharedStrings.xml><?xml version="1.0" encoding="utf-8"?>
<sst xmlns="http://schemas.openxmlformats.org/spreadsheetml/2006/main" count="46" uniqueCount="41">
  <si>
    <t>Les paramètres:</t>
  </si>
  <si>
    <t>r</t>
  </si>
  <si>
    <t>sigma</t>
  </si>
  <si>
    <t>T</t>
  </si>
  <si>
    <t>n</t>
  </si>
  <si>
    <t>nt</t>
  </si>
  <si>
    <t>S0</t>
  </si>
  <si>
    <t>Nd</t>
  </si>
  <si>
    <t>t</t>
  </si>
  <si>
    <t>K</t>
  </si>
  <si>
    <t>une série</t>
  </si>
  <si>
    <t>Les estimateurs:</t>
  </si>
  <si>
    <t>largeur IC</t>
  </si>
  <si>
    <t>Les IC</t>
  </si>
  <si>
    <t>ID</t>
  </si>
  <si>
    <t>temps</t>
  </si>
  <si>
    <t>VC_1</t>
  </si>
  <si>
    <t>VC_2</t>
  </si>
  <si>
    <t>bas</t>
  </si>
  <si>
    <t>haut</t>
  </si>
  <si>
    <t>C_inf</t>
  </si>
  <si>
    <t>C_5nt</t>
  </si>
  <si>
    <t>C_anti</t>
  </si>
  <si>
    <t>C_N</t>
  </si>
  <si>
    <t>S</t>
  </si>
  <si>
    <t>S_anti</t>
  </si>
  <si>
    <t>REF pour défiler le tableau</t>
  </si>
  <si>
    <t>a faire:</t>
  </si>
  <si>
    <t>10 trajectoires illustratives:</t>
  </si>
  <si>
    <t>Exemple des séries:</t>
  </si>
  <si>
    <t>estimateur</t>
  </si>
  <si>
    <t>Data Validation</t>
  </si>
  <si>
    <t>durée</t>
  </si>
  <si>
    <t>séries antith.</t>
  </si>
  <si>
    <t>Saisir ici:</t>
  </si>
  <si>
    <t>est.</t>
  </si>
  <si>
    <t>hide formula bar</t>
  </si>
  <si>
    <t>Les trajectoires du graphique</t>
  </si>
  <si>
    <t>le tableau des séries exemplaires</t>
  </si>
  <si>
    <t>plus de VC</t>
  </si>
  <si>
    <t>Protect, Protect Shee, Allow Edit Range, Formatting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</si>
</sst>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i/>
      <sz val="11"/>
      <color theme="4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2" borderId="0" xfId="0" applyFill="1" applyBorder="1"/>
    <xf numFmtId="0" fontId="0" fillId="2" borderId="0" xfId="0" quotePrefix="1" applyFill="1" applyBorder="1"/>
    <xf numFmtId="0" fontId="0" fillId="3" borderId="0" xfId="0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right"/>
    </xf>
    <xf numFmtId="0" fontId="1" fillId="3" borderId="0" xfId="0" applyFont="1" applyFill="1" applyBorder="1"/>
    <xf numFmtId="164" fontId="0" fillId="3" borderId="0" xfId="0" applyNumberFormat="1" applyFill="1" applyBorder="1"/>
    <xf numFmtId="165" fontId="0" fillId="3" borderId="0" xfId="0" applyNumberFormat="1" applyFill="1" applyBorder="1"/>
    <xf numFmtId="0" fontId="0" fillId="2" borderId="0" xfId="0" applyFill="1" applyBorder="1" applyAlignment="1">
      <alignment vertical="top"/>
    </xf>
    <xf numFmtId="2" fontId="0" fillId="3" borderId="0" xfId="0" applyNumberFormat="1" applyFont="1" applyFill="1" applyBorder="1"/>
    <xf numFmtId="164" fontId="0" fillId="3" borderId="0" xfId="0" applyNumberFormat="1" applyFill="1" applyBorder="1" applyAlignment="1">
      <alignment horizontal="center"/>
    </xf>
    <xf numFmtId="0" fontId="5" fillId="3" borderId="0" xfId="0" applyFont="1" applyFill="1" applyBorder="1"/>
    <xf numFmtId="0" fontId="2" fillId="3" borderId="0" xfId="0" applyFont="1" applyFill="1" applyBorder="1" applyAlignmen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6" fillId="3" borderId="0" xfId="0" applyFont="1" applyFill="1" applyBorder="1"/>
    <xf numFmtId="0" fontId="7" fillId="3" borderId="0" xfId="0" applyFont="1" applyFill="1" applyBorder="1" applyAlignment="1">
      <alignment horizontal="right"/>
    </xf>
    <xf numFmtId="164" fontId="8" fillId="3" borderId="0" xfId="0" applyNumberFormat="1" applyFont="1" applyFill="1" applyBorder="1" applyAlignment="1">
      <alignment horizontal="center"/>
    </xf>
    <xf numFmtId="165" fontId="8" fillId="3" borderId="0" xfId="0" applyNumberFormat="1" applyFont="1" applyFill="1" applyBorder="1"/>
    <xf numFmtId="164" fontId="8" fillId="3" borderId="0" xfId="0" applyNumberFormat="1" applyFont="1" applyFill="1" applyBorder="1"/>
    <xf numFmtId="0" fontId="4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left" vertical="top" wrapText="1"/>
    </xf>
    <xf numFmtId="0" fontId="1" fillId="5" borderId="0" xfId="0" applyFont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1" fillId="6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Dashboard!$I$3:$I$51</c:f>
              <c:numCache>
                <c:formatCode>General</c:formatCode>
                <c:ptCount val="49"/>
              </c:numCache>
            </c:numRef>
          </c:cat>
          <c:val>
            <c:numRef>
              <c:f>trajectoires!$I$3:$I$53</c:f>
              <c:numCache>
                <c:formatCode>General</c:formatCode>
                <c:ptCount val="51"/>
                <c:pt idx="0">
                  <c:v>40</c:v>
                </c:pt>
                <c:pt idx="1">
                  <c:v>40.335678492873711</c:v>
                </c:pt>
                <c:pt idx="2">
                  <c:v>40.402392052426485</c:v>
                </c:pt>
                <c:pt idx="3">
                  <c:v>40.457183176174269</c:v>
                </c:pt>
                <c:pt idx="4">
                  <c:v>40.310397636357472</c:v>
                </c:pt>
                <c:pt idx="5">
                  <c:v>40.796211629820561</c:v>
                </c:pt>
                <c:pt idx="6">
                  <c:v>39.734119483545378</c:v>
                </c:pt>
                <c:pt idx="7">
                  <c:v>40.626708306999028</c:v>
                </c:pt>
                <c:pt idx="8">
                  <c:v>40.708804409060726</c:v>
                </c:pt>
                <c:pt idx="9">
                  <c:v>41.229528264625316</c:v>
                </c:pt>
                <c:pt idx="10">
                  <c:v>41.23949347702829</c:v>
                </c:pt>
                <c:pt idx="11">
                  <c:v>41.060296747790716</c:v>
                </c:pt>
                <c:pt idx="12">
                  <c:v>41.13610487467048</c:v>
                </c:pt>
                <c:pt idx="13">
                  <c:v>42.247937709974082</c:v>
                </c:pt>
                <c:pt idx="14">
                  <c:v>42.117095748983182</c:v>
                </c:pt>
                <c:pt idx="15">
                  <c:v>42.411541614423271</c:v>
                </c:pt>
                <c:pt idx="16">
                  <c:v>42.44652891797206</c:v>
                </c:pt>
                <c:pt idx="17">
                  <c:v>42.557434786615666</c:v>
                </c:pt>
                <c:pt idx="18">
                  <c:v>42.479535725467109</c:v>
                </c:pt>
                <c:pt idx="19">
                  <c:v>42.423161693030544</c:v>
                </c:pt>
                <c:pt idx="20">
                  <c:v>42.634181905965974</c:v>
                </c:pt>
                <c:pt idx="21">
                  <c:v>43.139010041344186</c:v>
                </c:pt>
                <c:pt idx="22">
                  <c:v>42.973767240513489</c:v>
                </c:pt>
                <c:pt idx="23">
                  <c:v>42.815521422468819</c:v>
                </c:pt>
                <c:pt idx="24">
                  <c:v>42.96914114132116</c:v>
                </c:pt>
                <c:pt idx="25">
                  <c:v>42.546713940068216</c:v>
                </c:pt>
                <c:pt idx="26">
                  <c:v>43.151941408174785</c:v>
                </c:pt>
                <c:pt idx="27">
                  <c:v>43.324006346711435</c:v>
                </c:pt>
                <c:pt idx="28">
                  <c:v>43.10592905028836</c:v>
                </c:pt>
                <c:pt idx="29">
                  <c:v>42.932390347859993</c:v>
                </c:pt>
                <c:pt idx="30">
                  <c:v>42.791383304520984</c:v>
                </c:pt>
                <c:pt idx="31">
                  <c:v>42.384590172832205</c:v>
                </c:pt>
                <c:pt idx="32">
                  <c:v>42.325077120211716</c:v>
                </c:pt>
                <c:pt idx="33">
                  <c:v>42.045067670677838</c:v>
                </c:pt>
                <c:pt idx="34">
                  <c:v>42.042718629299685</c:v>
                </c:pt>
                <c:pt idx="35">
                  <c:v>40.945661159396174</c:v>
                </c:pt>
                <c:pt idx="36">
                  <c:v>41.821951374412365</c:v>
                </c:pt>
                <c:pt idx="37">
                  <c:v>42.14572711990894</c:v>
                </c:pt>
                <c:pt idx="38">
                  <c:v>42.614956479619217</c:v>
                </c:pt>
                <c:pt idx="39">
                  <c:v>43.035014896581238</c:v>
                </c:pt>
                <c:pt idx="40">
                  <c:v>43.488578966600329</c:v>
                </c:pt>
                <c:pt idx="41">
                  <c:v>43.309043795024905</c:v>
                </c:pt>
                <c:pt idx="42">
                  <c:v>43.347801008933487</c:v>
                </c:pt>
                <c:pt idx="43">
                  <c:v>43.517110014429562</c:v>
                </c:pt>
                <c:pt idx="44">
                  <c:v>43.337853426827571</c:v>
                </c:pt>
                <c:pt idx="45">
                  <c:v>43.917376888476767</c:v>
                </c:pt>
                <c:pt idx="46">
                  <c:v>43.682597240677737</c:v>
                </c:pt>
                <c:pt idx="47">
                  <c:v>43.974777297385522</c:v>
                </c:pt>
                <c:pt idx="48">
                  <c:v>44.971491675448569</c:v>
                </c:pt>
                <c:pt idx="49">
                  <c:v>45.206443972030669</c:v>
                </c:pt>
                <c:pt idx="50">
                  <c:v>45.563841824797379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15-4960-A361-2E0B68820410}"/>
            </c:ext>
          </c:extLst>
        </c:ser>
        <c:ser>
          <c:idx val="1"/>
          <c:order val="1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trajectoires!$J$3:$J$53</c:f>
              <c:numCache>
                <c:formatCode>General</c:formatCode>
                <c:ptCount val="51"/>
                <c:pt idx="0">
                  <c:v>40</c:v>
                </c:pt>
                <c:pt idx="1">
                  <c:v>40.471596303847875</c:v>
                </c:pt>
                <c:pt idx="2">
                  <c:v>40.572212339190862</c:v>
                </c:pt>
                <c:pt idx="3">
                  <c:v>41.123705594675513</c:v>
                </c:pt>
                <c:pt idx="4">
                  <c:v>41.195827189954016</c:v>
                </c:pt>
                <c:pt idx="5">
                  <c:v>40.707495986602723</c:v>
                </c:pt>
                <c:pt idx="6">
                  <c:v>40.395492430442999</c:v>
                </c:pt>
                <c:pt idx="7">
                  <c:v>41.131938627113335</c:v>
                </c:pt>
                <c:pt idx="8">
                  <c:v>41.22629027668188</c:v>
                </c:pt>
                <c:pt idx="9">
                  <c:v>41.297303455988462</c:v>
                </c:pt>
                <c:pt idx="10">
                  <c:v>41.301871197141502</c:v>
                </c:pt>
                <c:pt idx="11">
                  <c:v>41.390462734240636</c:v>
                </c:pt>
                <c:pt idx="12">
                  <c:v>41.90641144011844</c:v>
                </c:pt>
                <c:pt idx="13">
                  <c:v>42.456078284975753</c:v>
                </c:pt>
                <c:pt idx="14">
                  <c:v>42.481967915885413</c:v>
                </c:pt>
                <c:pt idx="15">
                  <c:v>42.745802457736076</c:v>
                </c:pt>
                <c:pt idx="16">
                  <c:v>42.721651456649944</c:v>
                </c:pt>
                <c:pt idx="17">
                  <c:v>42.36475538968574</c:v>
                </c:pt>
                <c:pt idx="18">
                  <c:v>42.437320434285382</c:v>
                </c:pt>
                <c:pt idx="19">
                  <c:v>43.00716392364685</c:v>
                </c:pt>
                <c:pt idx="20">
                  <c:v>43.296340432760928</c:v>
                </c:pt>
                <c:pt idx="21">
                  <c:v>43.966471439403527</c:v>
                </c:pt>
                <c:pt idx="22">
                  <c:v>44.4315591099583</c:v>
                </c:pt>
                <c:pt idx="23">
                  <c:v>44.080306724117193</c:v>
                </c:pt>
                <c:pt idx="24">
                  <c:v>44.279717747858982</c:v>
                </c:pt>
                <c:pt idx="25">
                  <c:v>44.701344648113107</c:v>
                </c:pt>
                <c:pt idx="26">
                  <c:v>44.542505579149996</c:v>
                </c:pt>
                <c:pt idx="27">
                  <c:v>44.649437159668288</c:v>
                </c:pt>
                <c:pt idx="28">
                  <c:v>44.77148940377424</c:v>
                </c:pt>
                <c:pt idx="29">
                  <c:v>44.89388164363374</c:v>
                </c:pt>
                <c:pt idx="30">
                  <c:v>45.376849253769556</c:v>
                </c:pt>
                <c:pt idx="31">
                  <c:v>46.099753802299489</c:v>
                </c:pt>
                <c:pt idx="32">
                  <c:v>45.511096208790605</c:v>
                </c:pt>
                <c:pt idx="33">
                  <c:v>45.357649539559425</c:v>
                </c:pt>
                <c:pt idx="34">
                  <c:v>45.191711762208278</c:v>
                </c:pt>
                <c:pt idx="35">
                  <c:v>45.461661507824246</c:v>
                </c:pt>
                <c:pt idx="36">
                  <c:v>45.727553149878354</c:v>
                </c:pt>
                <c:pt idx="37">
                  <c:v>45.13268281105335</c:v>
                </c:pt>
                <c:pt idx="38">
                  <c:v>45.434334687318533</c:v>
                </c:pt>
                <c:pt idx="39">
                  <c:v>45.453087018498593</c:v>
                </c:pt>
                <c:pt idx="40">
                  <c:v>45.32005150053714</c:v>
                </c:pt>
                <c:pt idx="41">
                  <c:v>45.410856328036331</c:v>
                </c:pt>
                <c:pt idx="42">
                  <c:v>44.840778132053302</c:v>
                </c:pt>
                <c:pt idx="43">
                  <c:v>44.987077703767312</c:v>
                </c:pt>
                <c:pt idx="44">
                  <c:v>44.253031613845373</c:v>
                </c:pt>
                <c:pt idx="45">
                  <c:v>44.594841175869981</c:v>
                </c:pt>
                <c:pt idx="46">
                  <c:v>44.10981409655426</c:v>
                </c:pt>
                <c:pt idx="47">
                  <c:v>44.362274419639135</c:v>
                </c:pt>
                <c:pt idx="48">
                  <c:v>44.384478934502717</c:v>
                </c:pt>
                <c:pt idx="49">
                  <c:v>43.860611294638893</c:v>
                </c:pt>
                <c:pt idx="50">
                  <c:v>43.471067190331418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15-4960-A361-2E0B68820410}"/>
            </c:ext>
          </c:extLst>
        </c:ser>
        <c:ser>
          <c:idx val="2"/>
          <c:order val="2"/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trajectoires!$K$3:$K$53</c:f>
              <c:numCache>
                <c:formatCode>General</c:formatCode>
                <c:ptCount val="51"/>
                <c:pt idx="0">
                  <c:v>40</c:v>
                </c:pt>
                <c:pt idx="1">
                  <c:v>40.164128082408169</c:v>
                </c:pt>
                <c:pt idx="2">
                  <c:v>40.659065572101618</c:v>
                </c:pt>
                <c:pt idx="3">
                  <c:v>40.619432783714906</c:v>
                </c:pt>
                <c:pt idx="4">
                  <c:v>39.900117018378701</c:v>
                </c:pt>
                <c:pt idx="5">
                  <c:v>39.720649991888784</c:v>
                </c:pt>
                <c:pt idx="6">
                  <c:v>39.922505913766493</c:v>
                </c:pt>
                <c:pt idx="7">
                  <c:v>39.594484987930272</c:v>
                </c:pt>
                <c:pt idx="8">
                  <c:v>39.386934187290763</c:v>
                </c:pt>
                <c:pt idx="9">
                  <c:v>38.819881237878008</c:v>
                </c:pt>
                <c:pt idx="10">
                  <c:v>38.951886833327897</c:v>
                </c:pt>
                <c:pt idx="11">
                  <c:v>38.997653054454872</c:v>
                </c:pt>
                <c:pt idx="12">
                  <c:v>38.653883303708533</c:v>
                </c:pt>
                <c:pt idx="13">
                  <c:v>38.987607009219595</c:v>
                </c:pt>
                <c:pt idx="14">
                  <c:v>39.163056313321476</c:v>
                </c:pt>
                <c:pt idx="15">
                  <c:v>39.508118636247104</c:v>
                </c:pt>
                <c:pt idx="16">
                  <c:v>39.879595284146689</c:v>
                </c:pt>
                <c:pt idx="17">
                  <c:v>39.959367773144656</c:v>
                </c:pt>
                <c:pt idx="18">
                  <c:v>39.991386033735964</c:v>
                </c:pt>
                <c:pt idx="19">
                  <c:v>39.440125751774204</c:v>
                </c:pt>
                <c:pt idx="20">
                  <c:v>39.219674846707477</c:v>
                </c:pt>
                <c:pt idx="21">
                  <c:v>39.689648619420517</c:v>
                </c:pt>
                <c:pt idx="22">
                  <c:v>39.031616615535206</c:v>
                </c:pt>
                <c:pt idx="23">
                  <c:v>38.643402410978766</c:v>
                </c:pt>
                <c:pt idx="24">
                  <c:v>38.485217220574377</c:v>
                </c:pt>
                <c:pt idx="25">
                  <c:v>38.294165822938318</c:v>
                </c:pt>
                <c:pt idx="26">
                  <c:v>38.451238513057675</c:v>
                </c:pt>
                <c:pt idx="27">
                  <c:v>38.386422771706691</c:v>
                </c:pt>
                <c:pt idx="28">
                  <c:v>38.006812490833077</c:v>
                </c:pt>
                <c:pt idx="29">
                  <c:v>37.776485653995309</c:v>
                </c:pt>
                <c:pt idx="30">
                  <c:v>37.7050514762091</c:v>
                </c:pt>
                <c:pt idx="31">
                  <c:v>38.009040765066807</c:v>
                </c:pt>
                <c:pt idx="32">
                  <c:v>38.347425735090894</c:v>
                </c:pt>
                <c:pt idx="33">
                  <c:v>38.143961559174947</c:v>
                </c:pt>
                <c:pt idx="34">
                  <c:v>38.354913765177422</c:v>
                </c:pt>
                <c:pt idx="35">
                  <c:v>38.326236755611006</c:v>
                </c:pt>
                <c:pt idx="36">
                  <c:v>37.932328898244265</c:v>
                </c:pt>
                <c:pt idx="37">
                  <c:v>38.05227334770867</c:v>
                </c:pt>
                <c:pt idx="38">
                  <c:v>38.198245316231585</c:v>
                </c:pt>
                <c:pt idx="39">
                  <c:v>38.298788230127641</c:v>
                </c:pt>
                <c:pt idx="40">
                  <c:v>38.221919551246025</c:v>
                </c:pt>
                <c:pt idx="41">
                  <c:v>38.348269583509499</c:v>
                </c:pt>
                <c:pt idx="42">
                  <c:v>38.791167950791277</c:v>
                </c:pt>
                <c:pt idx="43">
                  <c:v>38.24167463726932</c:v>
                </c:pt>
                <c:pt idx="44">
                  <c:v>38.138805991160183</c:v>
                </c:pt>
                <c:pt idx="45">
                  <c:v>38.321429975312491</c:v>
                </c:pt>
                <c:pt idx="46">
                  <c:v>38.257128367846754</c:v>
                </c:pt>
                <c:pt idx="47">
                  <c:v>38.094700682834777</c:v>
                </c:pt>
                <c:pt idx="48">
                  <c:v>38.23397280065587</c:v>
                </c:pt>
                <c:pt idx="49">
                  <c:v>38.166953427557225</c:v>
                </c:pt>
                <c:pt idx="50">
                  <c:v>38.419198542709175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15-4960-A361-2E0B68820410}"/>
            </c:ext>
          </c:extLst>
        </c:ser>
        <c:ser>
          <c:idx val="3"/>
          <c:order val="3"/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trajectoires!$L$3:$L$53</c:f>
              <c:numCache>
                <c:formatCode>General</c:formatCode>
                <c:ptCount val="51"/>
                <c:pt idx="0">
                  <c:v>40</c:v>
                </c:pt>
                <c:pt idx="1">
                  <c:v>40.157238601580893</c:v>
                </c:pt>
                <c:pt idx="2">
                  <c:v>40.463155922448252</c:v>
                </c:pt>
                <c:pt idx="3">
                  <c:v>40.589380072756263</c:v>
                </c:pt>
                <c:pt idx="4">
                  <c:v>40.72085423574292</c:v>
                </c:pt>
                <c:pt idx="5">
                  <c:v>41.201709774873535</c:v>
                </c:pt>
                <c:pt idx="6">
                  <c:v>40.987320658969963</c:v>
                </c:pt>
                <c:pt idx="7">
                  <c:v>41.045533955137763</c:v>
                </c:pt>
                <c:pt idx="8">
                  <c:v>41.336247607234419</c:v>
                </c:pt>
                <c:pt idx="9">
                  <c:v>41.724332842679637</c:v>
                </c:pt>
                <c:pt idx="10">
                  <c:v>41.868306958565285</c:v>
                </c:pt>
                <c:pt idx="11">
                  <c:v>42.103284900873739</c:v>
                </c:pt>
                <c:pt idx="12">
                  <c:v>42.106223090211159</c:v>
                </c:pt>
                <c:pt idx="13">
                  <c:v>42.453321005179383</c:v>
                </c:pt>
                <c:pt idx="14">
                  <c:v>42.419978201962707</c:v>
                </c:pt>
                <c:pt idx="15">
                  <c:v>42.369908809255861</c:v>
                </c:pt>
                <c:pt idx="16">
                  <c:v>42.386232042288135</c:v>
                </c:pt>
                <c:pt idx="17">
                  <c:v>42.483117722075995</c:v>
                </c:pt>
                <c:pt idx="18">
                  <c:v>42.392343664004287</c:v>
                </c:pt>
                <c:pt idx="19">
                  <c:v>42.355287333712944</c:v>
                </c:pt>
                <c:pt idx="20">
                  <c:v>42.417053204514374</c:v>
                </c:pt>
                <c:pt idx="21">
                  <c:v>42.518393527225477</c:v>
                </c:pt>
                <c:pt idx="22">
                  <c:v>42.340378855139441</c:v>
                </c:pt>
                <c:pt idx="23">
                  <c:v>42.241156808341302</c:v>
                </c:pt>
                <c:pt idx="24">
                  <c:v>42.253926200266797</c:v>
                </c:pt>
                <c:pt idx="25">
                  <c:v>41.913430903318677</c:v>
                </c:pt>
                <c:pt idx="26">
                  <c:v>42.964453636442109</c:v>
                </c:pt>
                <c:pt idx="27">
                  <c:v>43.459492229778689</c:v>
                </c:pt>
                <c:pt idx="28">
                  <c:v>43.805020766769907</c:v>
                </c:pt>
                <c:pt idx="29">
                  <c:v>44.30049904735462</c:v>
                </c:pt>
                <c:pt idx="30">
                  <c:v>44.415787230901266</c:v>
                </c:pt>
                <c:pt idx="31">
                  <c:v>43.559512033117983</c:v>
                </c:pt>
                <c:pt idx="32">
                  <c:v>43.289919049889548</c:v>
                </c:pt>
                <c:pt idx="33">
                  <c:v>42.792618287997044</c:v>
                </c:pt>
                <c:pt idx="34">
                  <c:v>43.622819885819133</c:v>
                </c:pt>
                <c:pt idx="35">
                  <c:v>43.466259930095312</c:v>
                </c:pt>
                <c:pt idx="36">
                  <c:v>43.403869804644884</c:v>
                </c:pt>
                <c:pt idx="37">
                  <c:v>43.381602131726552</c:v>
                </c:pt>
                <c:pt idx="38">
                  <c:v>43.669414027576138</c:v>
                </c:pt>
                <c:pt idx="39">
                  <c:v>43.9065534488564</c:v>
                </c:pt>
                <c:pt idx="40">
                  <c:v>43.198886751749242</c:v>
                </c:pt>
                <c:pt idx="41">
                  <c:v>43.130331491208651</c:v>
                </c:pt>
                <c:pt idx="42">
                  <c:v>43.655095091498737</c:v>
                </c:pt>
                <c:pt idx="43">
                  <c:v>43.460528700121039</c:v>
                </c:pt>
                <c:pt idx="44">
                  <c:v>43.245477957123931</c:v>
                </c:pt>
                <c:pt idx="45">
                  <c:v>43.510677930777092</c:v>
                </c:pt>
                <c:pt idx="46">
                  <c:v>44.075732910129403</c:v>
                </c:pt>
                <c:pt idx="47">
                  <c:v>43.448050818754801</c:v>
                </c:pt>
                <c:pt idx="48">
                  <c:v>43.420536281436291</c:v>
                </c:pt>
                <c:pt idx="49">
                  <c:v>44.020786782493026</c:v>
                </c:pt>
                <c:pt idx="50">
                  <c:v>44.49924534594124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15-4960-A361-2E0B68820410}"/>
            </c:ext>
          </c:extLst>
        </c:ser>
        <c:ser>
          <c:idx val="4"/>
          <c:order val="4"/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trajectoires!$M$3:$M$53</c:f>
              <c:numCache>
                <c:formatCode>General</c:formatCode>
                <c:ptCount val="51"/>
                <c:pt idx="0">
                  <c:v>40</c:v>
                </c:pt>
                <c:pt idx="1">
                  <c:v>40.309530095727418</c:v>
                </c:pt>
                <c:pt idx="2">
                  <c:v>40.698136648075113</c:v>
                </c:pt>
                <c:pt idx="3">
                  <c:v>40.686744388474345</c:v>
                </c:pt>
                <c:pt idx="4">
                  <c:v>40.734251619714186</c:v>
                </c:pt>
                <c:pt idx="5">
                  <c:v>40.803805976626748</c:v>
                </c:pt>
                <c:pt idx="6">
                  <c:v>41.206931498166895</c:v>
                </c:pt>
                <c:pt idx="7">
                  <c:v>41.265418395217708</c:v>
                </c:pt>
                <c:pt idx="8">
                  <c:v>41.525325440400941</c:v>
                </c:pt>
                <c:pt idx="9">
                  <c:v>41.112322939032872</c:v>
                </c:pt>
                <c:pt idx="10">
                  <c:v>40.928207594942272</c:v>
                </c:pt>
                <c:pt idx="11">
                  <c:v>40.915132874896443</c:v>
                </c:pt>
                <c:pt idx="12">
                  <c:v>40.163622151759213</c:v>
                </c:pt>
                <c:pt idx="13">
                  <c:v>40.288146767446769</c:v>
                </c:pt>
                <c:pt idx="14">
                  <c:v>40.39977738832485</c:v>
                </c:pt>
                <c:pt idx="15">
                  <c:v>40.294038352677433</c:v>
                </c:pt>
                <c:pt idx="16">
                  <c:v>40.360707502654748</c:v>
                </c:pt>
                <c:pt idx="17">
                  <c:v>40.612104768035287</c:v>
                </c:pt>
                <c:pt idx="18">
                  <c:v>40.518650747814398</c:v>
                </c:pt>
                <c:pt idx="19">
                  <c:v>40.036948327391684</c:v>
                </c:pt>
                <c:pt idx="20">
                  <c:v>40.496393526424114</c:v>
                </c:pt>
                <c:pt idx="21">
                  <c:v>40.433535575533455</c:v>
                </c:pt>
                <c:pt idx="22">
                  <c:v>40.73143016135036</c:v>
                </c:pt>
                <c:pt idx="23">
                  <c:v>40.928526030832302</c:v>
                </c:pt>
                <c:pt idx="24">
                  <c:v>41.126486799903326</c:v>
                </c:pt>
                <c:pt idx="25">
                  <c:v>40.780464753784386</c:v>
                </c:pt>
                <c:pt idx="26">
                  <c:v>40.445480735740574</c:v>
                </c:pt>
                <c:pt idx="27">
                  <c:v>40.504102358774041</c:v>
                </c:pt>
                <c:pt idx="28">
                  <c:v>41.020108316131797</c:v>
                </c:pt>
                <c:pt idx="29">
                  <c:v>40.677623604670266</c:v>
                </c:pt>
                <c:pt idx="30">
                  <c:v>40.722844361980655</c:v>
                </c:pt>
                <c:pt idx="31">
                  <c:v>40.776997247876913</c:v>
                </c:pt>
                <c:pt idx="32">
                  <c:v>40.995020689210975</c:v>
                </c:pt>
                <c:pt idx="33">
                  <c:v>41.352057508294287</c:v>
                </c:pt>
                <c:pt idx="34">
                  <c:v>41.364999019322916</c:v>
                </c:pt>
                <c:pt idx="35">
                  <c:v>41.682024943357334</c:v>
                </c:pt>
                <c:pt idx="36">
                  <c:v>41.713847931453195</c:v>
                </c:pt>
                <c:pt idx="37">
                  <c:v>42.041071420272331</c:v>
                </c:pt>
                <c:pt idx="38">
                  <c:v>41.809628155110467</c:v>
                </c:pt>
                <c:pt idx="39">
                  <c:v>41.880188330559093</c:v>
                </c:pt>
                <c:pt idx="40">
                  <c:v>42.09816851161014</c:v>
                </c:pt>
                <c:pt idx="41">
                  <c:v>42.604377535486421</c:v>
                </c:pt>
                <c:pt idx="42">
                  <c:v>42.179555054301836</c:v>
                </c:pt>
                <c:pt idx="43">
                  <c:v>42.131815918462436</c:v>
                </c:pt>
                <c:pt idx="44">
                  <c:v>43.190020379085439</c:v>
                </c:pt>
                <c:pt idx="45">
                  <c:v>43.472837168449587</c:v>
                </c:pt>
                <c:pt idx="46">
                  <c:v>43.420545841731332</c:v>
                </c:pt>
                <c:pt idx="47">
                  <c:v>43.69748766873667</c:v>
                </c:pt>
                <c:pt idx="48">
                  <c:v>45.003390417831369</c:v>
                </c:pt>
                <c:pt idx="49">
                  <c:v>45.485398787570091</c:v>
                </c:pt>
                <c:pt idx="50">
                  <c:v>45.78534099108731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15-4960-A361-2E0B68820410}"/>
            </c:ext>
          </c:extLst>
        </c:ser>
        <c:ser>
          <c:idx val="5"/>
          <c:order val="5"/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trajectoires!$N$3:$N$53</c:f>
              <c:numCache>
                <c:formatCode>General</c:formatCode>
                <c:ptCount val="51"/>
                <c:pt idx="0">
                  <c:v>40</c:v>
                </c:pt>
                <c:pt idx="1">
                  <c:v>40.133093258790105</c:v>
                </c:pt>
                <c:pt idx="2">
                  <c:v>40.508048115569437</c:v>
                </c:pt>
                <c:pt idx="3">
                  <c:v>40.595355369296897</c:v>
                </c:pt>
                <c:pt idx="4">
                  <c:v>40.818130704616564</c:v>
                </c:pt>
                <c:pt idx="5">
                  <c:v>40.57440021948328</c:v>
                </c:pt>
                <c:pt idx="6">
                  <c:v>40.648470619545066</c:v>
                </c:pt>
                <c:pt idx="7">
                  <c:v>40.733957414274059</c:v>
                </c:pt>
                <c:pt idx="8">
                  <c:v>40.280279251583679</c:v>
                </c:pt>
                <c:pt idx="9">
                  <c:v>40.097079230918652</c:v>
                </c:pt>
                <c:pt idx="10">
                  <c:v>40.418749361657198</c:v>
                </c:pt>
                <c:pt idx="11">
                  <c:v>40.476283034366254</c:v>
                </c:pt>
                <c:pt idx="12">
                  <c:v>40.366992005518007</c:v>
                </c:pt>
                <c:pt idx="13">
                  <c:v>40.543068251599266</c:v>
                </c:pt>
                <c:pt idx="14">
                  <c:v>40.347601596295021</c:v>
                </c:pt>
                <c:pt idx="15">
                  <c:v>40.262256619744598</c:v>
                </c:pt>
                <c:pt idx="16">
                  <c:v>39.744426158321929</c:v>
                </c:pt>
                <c:pt idx="17">
                  <c:v>40.082992674147576</c:v>
                </c:pt>
                <c:pt idx="18">
                  <c:v>40.008757530184639</c:v>
                </c:pt>
                <c:pt idx="19">
                  <c:v>40.795065350578753</c:v>
                </c:pt>
                <c:pt idx="20">
                  <c:v>41.306129170368692</c:v>
                </c:pt>
                <c:pt idx="21">
                  <c:v>41.129021628051191</c:v>
                </c:pt>
                <c:pt idx="22">
                  <c:v>40.859521922235757</c:v>
                </c:pt>
                <c:pt idx="23">
                  <c:v>40.472691894298087</c:v>
                </c:pt>
                <c:pt idx="24">
                  <c:v>40.369114209012722</c:v>
                </c:pt>
                <c:pt idx="25">
                  <c:v>40.350662069462736</c:v>
                </c:pt>
                <c:pt idx="26">
                  <c:v>40.262586265720181</c:v>
                </c:pt>
                <c:pt idx="27">
                  <c:v>40.659064899002793</c:v>
                </c:pt>
                <c:pt idx="28">
                  <c:v>40.770448844395865</c:v>
                </c:pt>
                <c:pt idx="29">
                  <c:v>41.269330867863104</c:v>
                </c:pt>
                <c:pt idx="30">
                  <c:v>41.668976171674842</c:v>
                </c:pt>
                <c:pt idx="31">
                  <c:v>42.087190748144707</c:v>
                </c:pt>
                <c:pt idx="32">
                  <c:v>42.235235316469442</c:v>
                </c:pt>
                <c:pt idx="33">
                  <c:v>41.926142907980477</c:v>
                </c:pt>
                <c:pt idx="34">
                  <c:v>42.10500316617987</c:v>
                </c:pt>
                <c:pt idx="35">
                  <c:v>41.701980046324401</c:v>
                </c:pt>
                <c:pt idx="36">
                  <c:v>41.946228332436519</c:v>
                </c:pt>
                <c:pt idx="37">
                  <c:v>42.228839084695174</c:v>
                </c:pt>
                <c:pt idx="38">
                  <c:v>42.198537506338262</c:v>
                </c:pt>
                <c:pt idx="39">
                  <c:v>41.89142489437441</c:v>
                </c:pt>
                <c:pt idx="40">
                  <c:v>41.759202893364822</c:v>
                </c:pt>
                <c:pt idx="41">
                  <c:v>41.587877420097918</c:v>
                </c:pt>
                <c:pt idx="42">
                  <c:v>41.356736626787708</c:v>
                </c:pt>
                <c:pt idx="43">
                  <c:v>41.572524808712089</c:v>
                </c:pt>
                <c:pt idx="44">
                  <c:v>41.411160939380082</c:v>
                </c:pt>
                <c:pt idx="45">
                  <c:v>41.336918879756936</c:v>
                </c:pt>
                <c:pt idx="46">
                  <c:v>41.961413936120728</c:v>
                </c:pt>
                <c:pt idx="47">
                  <c:v>42.284805300130046</c:v>
                </c:pt>
                <c:pt idx="48">
                  <c:v>41.95747988866983</c:v>
                </c:pt>
                <c:pt idx="49">
                  <c:v>42.885956123844558</c:v>
                </c:pt>
                <c:pt idx="50">
                  <c:v>43.049100911102478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15-4960-A361-2E0B68820410}"/>
            </c:ext>
          </c:extLst>
        </c:ser>
        <c:ser>
          <c:idx val="6"/>
          <c:order val="6"/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trajectoires!$O$3:$O$53</c:f>
              <c:numCache>
                <c:formatCode>General</c:formatCode>
                <c:ptCount val="51"/>
                <c:pt idx="0">
                  <c:v>40</c:v>
                </c:pt>
                <c:pt idx="1">
                  <c:v>40.161807023440218</c:v>
                </c:pt>
                <c:pt idx="2">
                  <c:v>40.287588740378226</c:v>
                </c:pt>
                <c:pt idx="3">
                  <c:v>40.830728882569787</c:v>
                </c:pt>
                <c:pt idx="4">
                  <c:v>40.911530926035837</c:v>
                </c:pt>
                <c:pt idx="5">
                  <c:v>41.317433943524733</c:v>
                </c:pt>
                <c:pt idx="6">
                  <c:v>41.52688213628273</c:v>
                </c:pt>
                <c:pt idx="7">
                  <c:v>41.381605070930895</c:v>
                </c:pt>
                <c:pt idx="8">
                  <c:v>40.549282691923345</c:v>
                </c:pt>
                <c:pt idx="9">
                  <c:v>40.457553736207679</c:v>
                </c:pt>
                <c:pt idx="10">
                  <c:v>40.407934691601554</c:v>
                </c:pt>
                <c:pt idx="11">
                  <c:v>40.062274621797812</c:v>
                </c:pt>
                <c:pt idx="12">
                  <c:v>39.984161876992566</c:v>
                </c:pt>
                <c:pt idx="13">
                  <c:v>40.200984943687459</c:v>
                </c:pt>
                <c:pt idx="14">
                  <c:v>40.277673888728145</c:v>
                </c:pt>
                <c:pt idx="15">
                  <c:v>39.726926598681054</c:v>
                </c:pt>
                <c:pt idx="16">
                  <c:v>39.706827957668175</c:v>
                </c:pt>
                <c:pt idx="17">
                  <c:v>39.947116167032497</c:v>
                </c:pt>
                <c:pt idx="18">
                  <c:v>40.274831510410365</c:v>
                </c:pt>
                <c:pt idx="19">
                  <c:v>40.302729179729745</c:v>
                </c:pt>
                <c:pt idx="20">
                  <c:v>40.033665560936448</c:v>
                </c:pt>
                <c:pt idx="21">
                  <c:v>40.446047541697915</c:v>
                </c:pt>
                <c:pt idx="22">
                  <c:v>39.973319265072007</c:v>
                </c:pt>
                <c:pt idx="23">
                  <c:v>39.692781682270542</c:v>
                </c:pt>
                <c:pt idx="24">
                  <c:v>40.195613321355552</c:v>
                </c:pt>
                <c:pt idx="25">
                  <c:v>39.887121508440934</c:v>
                </c:pt>
                <c:pt idx="26">
                  <c:v>39.959833361533406</c:v>
                </c:pt>
                <c:pt idx="27">
                  <c:v>39.700881671321376</c:v>
                </c:pt>
                <c:pt idx="28">
                  <c:v>39.709814910775037</c:v>
                </c:pt>
                <c:pt idx="29">
                  <c:v>40.638580947855907</c:v>
                </c:pt>
                <c:pt idx="30">
                  <c:v>40.932821503036379</c:v>
                </c:pt>
                <c:pt idx="31">
                  <c:v>41.007461958410083</c:v>
                </c:pt>
                <c:pt idx="32">
                  <c:v>40.165331420637791</c:v>
                </c:pt>
                <c:pt idx="33">
                  <c:v>39.861131777358004</c:v>
                </c:pt>
                <c:pt idx="34">
                  <c:v>39.082996275023305</c:v>
                </c:pt>
                <c:pt idx="35">
                  <c:v>39.06194794238489</c:v>
                </c:pt>
                <c:pt idx="36">
                  <c:v>39.198315774171846</c:v>
                </c:pt>
                <c:pt idx="37">
                  <c:v>39.297042429632398</c:v>
                </c:pt>
                <c:pt idx="38">
                  <c:v>39.02735031554468</c:v>
                </c:pt>
                <c:pt idx="39">
                  <c:v>38.93919803006434</c:v>
                </c:pt>
                <c:pt idx="40">
                  <c:v>39.196702181705668</c:v>
                </c:pt>
                <c:pt idx="41">
                  <c:v>39.333802952353246</c:v>
                </c:pt>
                <c:pt idx="42">
                  <c:v>39.09151273496871</c:v>
                </c:pt>
                <c:pt idx="43">
                  <c:v>39.423439930462919</c:v>
                </c:pt>
                <c:pt idx="44">
                  <c:v>39.397585976337439</c:v>
                </c:pt>
                <c:pt idx="45">
                  <c:v>39.916997776593405</c:v>
                </c:pt>
                <c:pt idx="46">
                  <c:v>40.150311487584695</c:v>
                </c:pt>
                <c:pt idx="47">
                  <c:v>39.864116927031112</c:v>
                </c:pt>
                <c:pt idx="48">
                  <c:v>40.19696152009648</c:v>
                </c:pt>
                <c:pt idx="49">
                  <c:v>39.929389132028412</c:v>
                </c:pt>
                <c:pt idx="50">
                  <c:v>40.288212526129577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015-4960-A361-2E0B68820410}"/>
            </c:ext>
          </c:extLst>
        </c:ser>
        <c:ser>
          <c:idx val="7"/>
          <c:order val="7"/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trajectoires!$P$3:$P$53</c:f>
              <c:numCache>
                <c:formatCode>General</c:formatCode>
                <c:ptCount val="51"/>
                <c:pt idx="0">
                  <c:v>40</c:v>
                </c:pt>
                <c:pt idx="1">
                  <c:v>40.383266215971496</c:v>
                </c:pt>
                <c:pt idx="2">
                  <c:v>40.296453358048701</c:v>
                </c:pt>
                <c:pt idx="3">
                  <c:v>40.929918761008587</c:v>
                </c:pt>
                <c:pt idx="4">
                  <c:v>41.000969475757472</c:v>
                </c:pt>
                <c:pt idx="5">
                  <c:v>40.22683563630266</c:v>
                </c:pt>
                <c:pt idx="6">
                  <c:v>39.39863215600969</c:v>
                </c:pt>
                <c:pt idx="7">
                  <c:v>39.062117684296439</c:v>
                </c:pt>
                <c:pt idx="8">
                  <c:v>38.950911350698426</c:v>
                </c:pt>
                <c:pt idx="9">
                  <c:v>38.261926557613876</c:v>
                </c:pt>
                <c:pt idx="10">
                  <c:v>38.549113720049895</c:v>
                </c:pt>
                <c:pt idx="11">
                  <c:v>38.504911965560218</c:v>
                </c:pt>
                <c:pt idx="12">
                  <c:v>38.594009424035512</c:v>
                </c:pt>
                <c:pt idx="13">
                  <c:v>38.671186652194372</c:v>
                </c:pt>
                <c:pt idx="14">
                  <c:v>38.8418418736455</c:v>
                </c:pt>
                <c:pt idx="15">
                  <c:v>38.585595291302575</c:v>
                </c:pt>
                <c:pt idx="16">
                  <c:v>38.783938684196976</c:v>
                </c:pt>
                <c:pt idx="17">
                  <c:v>39.157499843747338</c:v>
                </c:pt>
                <c:pt idx="18">
                  <c:v>39.33211469329877</c:v>
                </c:pt>
                <c:pt idx="19">
                  <c:v>39.343187161571933</c:v>
                </c:pt>
                <c:pt idx="20">
                  <c:v>38.917995772902977</c:v>
                </c:pt>
                <c:pt idx="21">
                  <c:v>39.083898783788975</c:v>
                </c:pt>
                <c:pt idx="22">
                  <c:v>39.029311777431218</c:v>
                </c:pt>
                <c:pt idx="23">
                  <c:v>39.548938458218842</c:v>
                </c:pt>
                <c:pt idx="24">
                  <c:v>39.422833128611174</c:v>
                </c:pt>
                <c:pt idx="25">
                  <c:v>39.540612862656246</c:v>
                </c:pt>
                <c:pt idx="26">
                  <c:v>40.097120774855703</c:v>
                </c:pt>
                <c:pt idx="27">
                  <c:v>40.308920844922987</c:v>
                </c:pt>
                <c:pt idx="28">
                  <c:v>39.626175943804824</c:v>
                </c:pt>
                <c:pt idx="29">
                  <c:v>39.948530906382182</c:v>
                </c:pt>
                <c:pt idx="30">
                  <c:v>40.162021193462458</c:v>
                </c:pt>
                <c:pt idx="31">
                  <c:v>40.015214752826971</c:v>
                </c:pt>
                <c:pt idx="32">
                  <c:v>39.907601064880737</c:v>
                </c:pt>
                <c:pt idx="33">
                  <c:v>39.497616741078744</c:v>
                </c:pt>
                <c:pt idx="34">
                  <c:v>39.319625888172524</c:v>
                </c:pt>
                <c:pt idx="35">
                  <c:v>39.188566385393457</c:v>
                </c:pt>
                <c:pt idx="36">
                  <c:v>40.022061655076627</c:v>
                </c:pt>
                <c:pt idx="37">
                  <c:v>40.310325648920717</c:v>
                </c:pt>
                <c:pt idx="38">
                  <c:v>40.945603006748719</c:v>
                </c:pt>
                <c:pt idx="39">
                  <c:v>40.544285480123825</c:v>
                </c:pt>
                <c:pt idx="40">
                  <c:v>40.637365971051551</c:v>
                </c:pt>
                <c:pt idx="41">
                  <c:v>40.728440749898809</c:v>
                </c:pt>
                <c:pt idx="42">
                  <c:v>40.963729282374459</c:v>
                </c:pt>
                <c:pt idx="43">
                  <c:v>41.047896480132728</c:v>
                </c:pt>
                <c:pt idx="44">
                  <c:v>40.890379198008532</c:v>
                </c:pt>
                <c:pt idx="45">
                  <c:v>40.99208521583023</c:v>
                </c:pt>
                <c:pt idx="46">
                  <c:v>41.155895135052823</c:v>
                </c:pt>
                <c:pt idx="47">
                  <c:v>41.618573714057071</c:v>
                </c:pt>
                <c:pt idx="48">
                  <c:v>41.615427143144984</c:v>
                </c:pt>
                <c:pt idx="49">
                  <c:v>41.906606421265231</c:v>
                </c:pt>
                <c:pt idx="50">
                  <c:v>41.713741799492446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015-4960-A361-2E0B68820410}"/>
            </c:ext>
          </c:extLst>
        </c:ser>
        <c:ser>
          <c:idx val="8"/>
          <c:order val="8"/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trajectoires!$Q$3:$Q$53</c:f>
              <c:numCache>
                <c:formatCode>General</c:formatCode>
                <c:ptCount val="51"/>
                <c:pt idx="0">
                  <c:v>40</c:v>
                </c:pt>
                <c:pt idx="1">
                  <c:v>40.451387618731225</c:v>
                </c:pt>
                <c:pt idx="2">
                  <c:v>41.132614845261443</c:v>
                </c:pt>
                <c:pt idx="3">
                  <c:v>40.847718742127732</c:v>
                </c:pt>
                <c:pt idx="4">
                  <c:v>41.2206821996214</c:v>
                </c:pt>
                <c:pt idx="5">
                  <c:v>40.805352148609451</c:v>
                </c:pt>
                <c:pt idx="6">
                  <c:v>40.526052221939672</c:v>
                </c:pt>
                <c:pt idx="7">
                  <c:v>41.038766536825733</c:v>
                </c:pt>
                <c:pt idx="8">
                  <c:v>41.295566978077559</c:v>
                </c:pt>
                <c:pt idx="9">
                  <c:v>40.840003486922633</c:v>
                </c:pt>
                <c:pt idx="10">
                  <c:v>41.155747184349352</c:v>
                </c:pt>
                <c:pt idx="11">
                  <c:v>42.158503614171771</c:v>
                </c:pt>
                <c:pt idx="12">
                  <c:v>41.836824002482125</c:v>
                </c:pt>
                <c:pt idx="13">
                  <c:v>41.942429671868823</c:v>
                </c:pt>
                <c:pt idx="14">
                  <c:v>42.045259344867333</c:v>
                </c:pt>
                <c:pt idx="15">
                  <c:v>41.886516244126732</c:v>
                </c:pt>
                <c:pt idx="16">
                  <c:v>41.9913061715637</c:v>
                </c:pt>
                <c:pt idx="17">
                  <c:v>42.421500247105257</c:v>
                </c:pt>
                <c:pt idx="18">
                  <c:v>42.539182356993464</c:v>
                </c:pt>
                <c:pt idx="19">
                  <c:v>43.113580297172767</c:v>
                </c:pt>
                <c:pt idx="20">
                  <c:v>43.259037642903508</c:v>
                </c:pt>
                <c:pt idx="21">
                  <c:v>42.975595259615716</c:v>
                </c:pt>
                <c:pt idx="22">
                  <c:v>43.086216374118301</c:v>
                </c:pt>
                <c:pt idx="23">
                  <c:v>42.176977743572671</c:v>
                </c:pt>
                <c:pt idx="24">
                  <c:v>42.36452235580785</c:v>
                </c:pt>
                <c:pt idx="25">
                  <c:v>42.984406076869853</c:v>
                </c:pt>
                <c:pt idx="26">
                  <c:v>42.409419762600386</c:v>
                </c:pt>
                <c:pt idx="27">
                  <c:v>42.318112001722284</c:v>
                </c:pt>
                <c:pt idx="28">
                  <c:v>41.937775408128665</c:v>
                </c:pt>
                <c:pt idx="29">
                  <c:v>41.782643510150116</c:v>
                </c:pt>
                <c:pt idx="30">
                  <c:v>42.130762369675466</c:v>
                </c:pt>
                <c:pt idx="31">
                  <c:v>42.515629048611316</c:v>
                </c:pt>
                <c:pt idx="32">
                  <c:v>42.492188853405402</c:v>
                </c:pt>
                <c:pt idx="33">
                  <c:v>42.283883019982426</c:v>
                </c:pt>
                <c:pt idx="34">
                  <c:v>42.723633882314317</c:v>
                </c:pt>
                <c:pt idx="35">
                  <c:v>42.997019668013813</c:v>
                </c:pt>
                <c:pt idx="36">
                  <c:v>43.315139006944015</c:v>
                </c:pt>
                <c:pt idx="37">
                  <c:v>42.904318132364025</c:v>
                </c:pt>
                <c:pt idx="38">
                  <c:v>42.916295555598694</c:v>
                </c:pt>
                <c:pt idx="39">
                  <c:v>43.161249355998102</c:v>
                </c:pt>
                <c:pt idx="40">
                  <c:v>43.387130865304272</c:v>
                </c:pt>
                <c:pt idx="41">
                  <c:v>43.661972097701245</c:v>
                </c:pt>
                <c:pt idx="42">
                  <c:v>43.523881578254624</c:v>
                </c:pt>
                <c:pt idx="43">
                  <c:v>43.834854747653132</c:v>
                </c:pt>
                <c:pt idx="44">
                  <c:v>43.278206091278143</c:v>
                </c:pt>
                <c:pt idx="45">
                  <c:v>42.913983383134514</c:v>
                </c:pt>
                <c:pt idx="46">
                  <c:v>43.050074214691399</c:v>
                </c:pt>
                <c:pt idx="47">
                  <c:v>43.35843184917762</c:v>
                </c:pt>
                <c:pt idx="48">
                  <c:v>43.654457362297585</c:v>
                </c:pt>
                <c:pt idx="49">
                  <c:v>43.491226659024925</c:v>
                </c:pt>
                <c:pt idx="50">
                  <c:v>44.181181109357993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015-4960-A361-2E0B68820410}"/>
            </c:ext>
          </c:extLst>
        </c:ser>
        <c:ser>
          <c:idx val="9"/>
          <c:order val="9"/>
          <c:spPr>
            <a:ln w="19050" cap="rnd" cmpd="sng" algn="ctr">
              <a:solidFill>
                <a:schemeClr val="accent1">
                  <a:lumMod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trajectoires!$R$3:$R$53</c:f>
              <c:numCache>
                <c:formatCode>General</c:formatCode>
                <c:ptCount val="51"/>
                <c:pt idx="0">
                  <c:v>40</c:v>
                </c:pt>
                <c:pt idx="1">
                  <c:v>39.834337930666102</c:v>
                </c:pt>
                <c:pt idx="2">
                  <c:v>40.34556305001994</c:v>
                </c:pt>
                <c:pt idx="3">
                  <c:v>40.827428865607061</c:v>
                </c:pt>
                <c:pt idx="4">
                  <c:v>40.703650368471735</c:v>
                </c:pt>
                <c:pt idx="5">
                  <c:v>40.71730002184318</c:v>
                </c:pt>
                <c:pt idx="6">
                  <c:v>40.820585599515717</c:v>
                </c:pt>
                <c:pt idx="7">
                  <c:v>41.14905848492927</c:v>
                </c:pt>
                <c:pt idx="8">
                  <c:v>41.455375722810345</c:v>
                </c:pt>
                <c:pt idx="9">
                  <c:v>41.446541958154832</c:v>
                </c:pt>
                <c:pt idx="10">
                  <c:v>41.60995539935081</c:v>
                </c:pt>
                <c:pt idx="11">
                  <c:v>41.272402275003707</c:v>
                </c:pt>
                <c:pt idx="12">
                  <c:v>41.709091520536511</c:v>
                </c:pt>
                <c:pt idx="13">
                  <c:v>41.910977229524725</c:v>
                </c:pt>
                <c:pt idx="14">
                  <c:v>42.201587139809305</c:v>
                </c:pt>
                <c:pt idx="15">
                  <c:v>42.627104152663179</c:v>
                </c:pt>
                <c:pt idx="16">
                  <c:v>42.539831895044429</c:v>
                </c:pt>
                <c:pt idx="17">
                  <c:v>42.291245969090774</c:v>
                </c:pt>
                <c:pt idx="18">
                  <c:v>42.123311469967618</c:v>
                </c:pt>
                <c:pt idx="19">
                  <c:v>42.44103553079654</c:v>
                </c:pt>
                <c:pt idx="20">
                  <c:v>42.506673099962484</c:v>
                </c:pt>
                <c:pt idx="21">
                  <c:v>43.210819174159745</c:v>
                </c:pt>
                <c:pt idx="22">
                  <c:v>43.731549866889573</c:v>
                </c:pt>
                <c:pt idx="23">
                  <c:v>43.900280574237385</c:v>
                </c:pt>
                <c:pt idx="24">
                  <c:v>43.662596068061077</c:v>
                </c:pt>
                <c:pt idx="25">
                  <c:v>44.11850119692852</c:v>
                </c:pt>
                <c:pt idx="26">
                  <c:v>44.510672160192591</c:v>
                </c:pt>
                <c:pt idx="27">
                  <c:v>45.425460790707916</c:v>
                </c:pt>
                <c:pt idx="28">
                  <c:v>45.103854338285345</c:v>
                </c:pt>
                <c:pt idx="29">
                  <c:v>44.526069922472963</c:v>
                </c:pt>
                <c:pt idx="30">
                  <c:v>44.652107926657607</c:v>
                </c:pt>
                <c:pt idx="31">
                  <c:v>44.600592614332704</c:v>
                </c:pt>
                <c:pt idx="32">
                  <c:v>44.129311490120266</c:v>
                </c:pt>
                <c:pt idx="33">
                  <c:v>44.119122967523985</c:v>
                </c:pt>
                <c:pt idx="34">
                  <c:v>45.250728299466118</c:v>
                </c:pt>
                <c:pt idx="35">
                  <c:v>46.128622769482121</c:v>
                </c:pt>
                <c:pt idx="36">
                  <c:v>46.227019766936607</c:v>
                </c:pt>
                <c:pt idx="37">
                  <c:v>46.884003701043362</c:v>
                </c:pt>
                <c:pt idx="38">
                  <c:v>47.758004699861402</c:v>
                </c:pt>
                <c:pt idx="39">
                  <c:v>46.281630036363104</c:v>
                </c:pt>
                <c:pt idx="40">
                  <c:v>45.881902957921547</c:v>
                </c:pt>
                <c:pt idx="41">
                  <c:v>45.979095860854862</c:v>
                </c:pt>
                <c:pt idx="42">
                  <c:v>45.8567649068492</c:v>
                </c:pt>
                <c:pt idx="43">
                  <c:v>46.252666814399845</c:v>
                </c:pt>
                <c:pt idx="44">
                  <c:v>46.200671373743269</c:v>
                </c:pt>
                <c:pt idx="45">
                  <c:v>46.717801471162261</c:v>
                </c:pt>
                <c:pt idx="46">
                  <c:v>47.285212208246001</c:v>
                </c:pt>
                <c:pt idx="47">
                  <c:v>46.729455942835578</c:v>
                </c:pt>
                <c:pt idx="48">
                  <c:v>46.442304849154993</c:v>
                </c:pt>
                <c:pt idx="49">
                  <c:v>46.361254104761585</c:v>
                </c:pt>
                <c:pt idx="50">
                  <c:v>47.052363072729875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015-4960-A361-2E0B68820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352992"/>
        <c:axId val="334353824"/>
      </c:lineChart>
      <c:catAx>
        <c:axId val="33435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4353824"/>
        <c:crosses val="autoZero"/>
        <c:auto val="1"/>
        <c:lblAlgn val="ctr"/>
        <c:lblOffset val="100"/>
        <c:noMultiLvlLbl val="0"/>
      </c:catAx>
      <c:valAx>
        <c:axId val="334353824"/>
        <c:scaling>
          <c:orientation val="minMax"/>
          <c:min val="37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43529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IC!$C$2</c:f>
              <c:strCache>
                <c:ptCount val="1"/>
                <c:pt idx="0">
                  <c:v>est.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IC!$A$3:$A$8</c:f>
              <c:strCache>
                <c:ptCount val="6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  <c:pt idx="5">
                  <c:v>C_N</c:v>
                </c:pt>
              </c:strCache>
            </c:strRef>
          </c:cat>
          <c:val>
            <c:numRef>
              <c:f>IC!$C$3:$C$8</c:f>
              <c:numCache>
                <c:formatCode>General</c:formatCode>
                <c:ptCount val="6"/>
                <c:pt idx="0">
                  <c:v>5.7413405661810595</c:v>
                </c:pt>
                <c:pt idx="1">
                  <c:v>5.7324615199439695</c:v>
                </c:pt>
                <c:pt idx="2">
                  <c:v>5.7224442572054883</c:v>
                </c:pt>
                <c:pt idx="3">
                  <c:v>5.7208250705814887</c:v>
                </c:pt>
                <c:pt idx="4">
                  <c:v>5.7340472431199334</c:v>
                </c:pt>
                <c:pt idx="5">
                  <c:v>5.6969294859090622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A-4705-A8FB-21647CA6C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964224"/>
        <c:axId val="339962144"/>
      </c:barChart>
      <c:scatterChart>
        <c:scatterStyle val="lineMarker"/>
        <c:varyColors val="0"/>
        <c:ser>
          <c:idx val="0"/>
          <c:order val="0"/>
          <c:tx>
            <c:strRef>
              <c:f>IC!$B$2</c:f>
              <c:strCache>
                <c:ptCount val="1"/>
                <c:pt idx="0">
                  <c:v>bas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6350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xVal>
            <c:strRef>
              <c:f>IC!$A$3:$A$8</c:f>
              <c:strCache>
                <c:ptCount val="6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  <c:pt idx="5">
                  <c:v>C_N</c:v>
                </c:pt>
              </c:strCache>
            </c:strRef>
          </c:xVal>
          <c:yVal>
            <c:numRef>
              <c:f>IC!$B$3:$B$8</c:f>
              <c:numCache>
                <c:formatCode>General</c:formatCode>
                <c:ptCount val="6"/>
                <c:pt idx="0">
                  <c:v>5.7010540063039432</c:v>
                </c:pt>
                <c:pt idx="1">
                  <c:v>5.7146000732011002</c:v>
                </c:pt>
                <c:pt idx="2">
                  <c:v>5.682079425129186</c:v>
                </c:pt>
                <c:pt idx="3">
                  <c:v>5.6815746564613976</c:v>
                </c:pt>
                <c:pt idx="4">
                  <c:v>5.7113977461363774</c:v>
                </c:pt>
                <c:pt idx="5">
                  <c:v>5.6571012852814953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5A-4705-A8FB-21647CA6C6F1}"/>
            </c:ext>
          </c:extLst>
        </c:ser>
        <c:ser>
          <c:idx val="2"/>
          <c:order val="2"/>
          <c:tx>
            <c:strRef>
              <c:f>IC!$D$2</c:f>
              <c:strCache>
                <c:ptCount val="1"/>
                <c:pt idx="0">
                  <c:v>haut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xVal>
            <c:strRef>
              <c:f>IC!$A$3:$A$8</c:f>
              <c:strCache>
                <c:ptCount val="6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  <c:pt idx="5">
                  <c:v>C_N</c:v>
                </c:pt>
              </c:strCache>
            </c:strRef>
          </c:xVal>
          <c:yVal>
            <c:numRef>
              <c:f>IC!$D$3:$D$8</c:f>
              <c:numCache>
                <c:formatCode>General</c:formatCode>
                <c:ptCount val="6"/>
                <c:pt idx="0">
                  <c:v>5.7816271260581757</c:v>
                </c:pt>
                <c:pt idx="1">
                  <c:v>5.7503229666868387</c:v>
                </c:pt>
                <c:pt idx="2">
                  <c:v>5.7628090892817907</c:v>
                </c:pt>
                <c:pt idx="3">
                  <c:v>5.7600754847015798</c:v>
                </c:pt>
                <c:pt idx="4">
                  <c:v>5.7566967401034894</c:v>
                </c:pt>
                <c:pt idx="5">
                  <c:v>5.7367576865366292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65A-4705-A8FB-21647CA6C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964224"/>
        <c:axId val="339962144"/>
      </c:scatterChart>
      <c:catAx>
        <c:axId val="33996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9962144"/>
        <c:crosses val="autoZero"/>
        <c:auto val="1"/>
        <c:lblAlgn val="ctr"/>
        <c:lblOffset val="100"/>
        <c:noMultiLvlLbl val="0"/>
      </c:catAx>
      <c:valAx>
        <c:axId val="3399621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996422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6" fmlaLink="trajectoires!F2" max="40" page="2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3</xdr:row>
          <xdr:rowOff>7620</xdr:rowOff>
        </xdr:from>
        <xdr:to>
          <xdr:col>17</xdr:col>
          <xdr:colOff>182880</xdr:colOff>
          <xdr:row>13</xdr:row>
          <xdr:rowOff>167640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142875</xdr:colOff>
      <xdr:row>15</xdr:row>
      <xdr:rowOff>289676</xdr:rowOff>
    </xdr:from>
    <xdr:to>
      <xdr:col>7</xdr:col>
      <xdr:colOff>571499</xdr:colOff>
      <xdr:row>23</xdr:row>
      <xdr:rowOff>152400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03487" y="3212170"/>
          <a:ext cx="3494553" cy="1449477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1100" b="1">
              <a:solidFill>
                <a:sysClr val="windowText" lastClr="000000"/>
              </a:solidFill>
            </a:rPr>
            <a:t>Les estimateurs se calculent ainsi:</a:t>
          </a:r>
        </a:p>
        <a:p>
          <a:pPr algn="l"/>
          <a:r>
            <a:rPr lang="de-DE" sz="1100" b="1">
              <a:solidFill>
                <a:sysClr val="windowText" lastClr="000000"/>
              </a:solidFill>
            </a:rPr>
            <a:t>C_inf</a:t>
          </a:r>
          <a:r>
            <a:rPr lang="de-DE" sz="1100">
              <a:solidFill>
                <a:sysClr val="windowText" lastClr="000000"/>
              </a:solidFill>
            </a:rPr>
            <a:t>: Le prix d'une option asiatique d'achat. La moyenne de l'aire</a:t>
          </a:r>
          <a:r>
            <a:rPr lang="de-DE" sz="1100" baseline="0">
              <a:solidFill>
                <a:sysClr val="windowText" lastClr="000000"/>
              </a:solidFill>
            </a:rPr>
            <a:t> sous les courbes de prix, moins  K, puis actualisée. 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C_5nt</a:t>
          </a:r>
          <a:r>
            <a:rPr lang="de-DE" sz="1100" baseline="0">
              <a:solidFill>
                <a:sysClr val="windowText" lastClr="000000"/>
              </a:solidFill>
            </a:rPr>
            <a:t>: Avec cinq fois plus de courbes simulées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C_anti</a:t>
          </a:r>
          <a:r>
            <a:rPr lang="de-DE" sz="1100" baseline="0">
              <a:solidFill>
                <a:sysClr val="windowText" lastClr="000000"/>
              </a:solidFill>
            </a:rPr>
            <a:t>: Avec une variable antithétique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C_N</a:t>
          </a:r>
          <a:r>
            <a:rPr lang="de-DE" sz="1100" baseline="0">
              <a:solidFill>
                <a:sysClr val="windowText" lastClr="000000"/>
              </a:solidFill>
            </a:rPr>
            <a:t>:  Au lieu de l'aire on prend la moyenne de Nd valeurs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VC_1</a:t>
          </a:r>
          <a:r>
            <a:rPr lang="de-DE" sz="1100" baseline="0">
              <a:solidFill>
                <a:sysClr val="windowText" lastClr="000000"/>
              </a:solidFill>
            </a:rPr>
            <a:t>: Variable de contrôle, un mouvement brownien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VC_2</a:t>
          </a:r>
          <a:r>
            <a:rPr lang="de-DE" sz="1100" baseline="0">
              <a:solidFill>
                <a:sysClr val="windowText" lastClr="000000"/>
              </a:solidFill>
            </a:rPr>
            <a:t>: V. d. C.,  un mouv. brown. à W_T 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12440</xdr:colOff>
      <xdr:row>20</xdr:row>
      <xdr:rowOff>7620</xdr:rowOff>
    </xdr:from>
    <xdr:to>
      <xdr:col>1</xdr:col>
      <xdr:colOff>518899</xdr:colOff>
      <xdr:row>23</xdr:row>
      <xdr:rowOff>172380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25" b="20783"/>
        <a:stretch/>
      </xdr:blipFill>
      <xdr:spPr bwMode="auto">
        <a:xfrm>
          <a:off x="263900" y="4023360"/>
          <a:ext cx="506459" cy="7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266700</xdr:colOff>
      <xdr:row>4</xdr:row>
      <xdr:rowOff>83820</xdr:rowOff>
    </xdr:from>
    <xdr:to>
      <xdr:col>5</xdr:col>
      <xdr:colOff>379500</xdr:colOff>
      <xdr:row>11</xdr:row>
      <xdr:rowOff>135660</xdr:rowOff>
    </xdr:to>
    <xdr:sp macro="[0]!Macro1" textlink="">
      <xdr:nvSpPr>
        <xdr:cNvPr id="9" name="Flowchart: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10740" y="982980"/>
          <a:ext cx="1332000" cy="1332000"/>
        </a:xfrm>
        <a:prstGeom prst="flowChartConnector">
          <a:avLst/>
        </a:prstGeom>
        <a:solidFill>
          <a:schemeClr val="accent1"/>
        </a:solidFill>
        <a:ln w="12700" cap="flat" cmpd="sng" algn="ctr">
          <a:noFill/>
          <a:prstDash val="solid"/>
          <a:miter lim="800000"/>
        </a:ln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de-DE" sz="1100" i="1"/>
            <a:t>cliquer pour</a:t>
          </a:r>
        </a:p>
        <a:p>
          <a:pPr algn="ctr"/>
          <a:r>
            <a:rPr lang="de-DE" sz="1100" i="1"/>
            <a:t>demarrer</a:t>
          </a:r>
          <a:r>
            <a:rPr lang="de-DE" sz="1100" i="1" baseline="0"/>
            <a:t> </a:t>
          </a:r>
          <a:r>
            <a:rPr lang="de-DE" sz="1100" i="1"/>
            <a:t>la</a:t>
          </a:r>
          <a:r>
            <a:rPr lang="de-DE" sz="1100" i="1" baseline="0"/>
            <a:t> simulation</a:t>
          </a:r>
          <a:endParaRPr lang="de-DE" sz="1100" i="1"/>
        </a:p>
      </xdr:txBody>
    </xdr:sp>
    <xdr:clientData/>
  </xdr:twoCellAnchor>
  <xdr:twoCellAnchor>
    <xdr:from>
      <xdr:col>1</xdr:col>
      <xdr:colOff>29454</xdr:colOff>
      <xdr:row>16</xdr:row>
      <xdr:rowOff>5144</xdr:rowOff>
    </xdr:from>
    <xdr:to>
      <xdr:col>2</xdr:col>
      <xdr:colOff>13253</xdr:colOff>
      <xdr:row>19</xdr:row>
      <xdr:rowOff>159025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1245" y="3318187"/>
          <a:ext cx="593399" cy="710473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B. Deutsch</a:t>
          </a:r>
        </a:p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V. De 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Crespin De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Billy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M. Lang</a:t>
          </a:r>
          <a:endParaRPr lang="de-DE" sz="900" b="0" i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12</xdr:col>
      <xdr:colOff>25400</xdr:colOff>
      <xdr:row>14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C49D35-B688-4943-A4B2-E7AE2617D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13</xdr:col>
      <xdr:colOff>289560</xdr:colOff>
      <xdr:row>23</xdr:row>
      <xdr:rowOff>180340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CE2586-33FD-4E46-B922-B5DBC416F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92DB-EF92-4E5A-9BC9-ACD638096CD5}">
  <sheetPr codeName="Sheet3"/>
  <dimension ref="B1:S25"/>
  <sheetViews>
    <sheetView showGridLines="0" showRowColHeaders="0" tabSelected="1" zoomScale="60" zoomScaleNormal="60" workbookViewId="0">
      <selection activeCell="C5" sqref="C5"/>
    </sheetView>
  </sheetViews>
  <sheetFormatPr defaultRowHeight="14.4" x14ac:dyDescent="0.3"/>
  <cols>
    <col min="1" max="1" width="3.6640625" style="2" customWidth="1"/>
    <col min="2" max="2" width="8.88671875" style="2"/>
    <col min="3" max="3" width="9.109375" style="2" customWidth="1"/>
    <col min="4" max="6" width="8.88671875" style="2"/>
    <col min="7" max="12" width="8.88671875" style="2" customWidth="1"/>
    <col min="13" max="13" width="4.6640625" style="2" customWidth="1"/>
    <col min="14" max="16" width="10.77734375" style="2" customWidth="1"/>
    <col min="17" max="17" width="11.33203125" style="2" customWidth="1"/>
    <col min="18" max="18" width="2.88671875" style="2" customWidth="1"/>
    <col min="19" max="19" width="8.5546875" style="2" customWidth="1"/>
    <col min="20" max="16384" width="8.88671875" style="2"/>
  </cols>
  <sheetData>
    <row r="1" spans="2:19" ht="18" customHeight="1" x14ac:dyDescent="0.3"/>
    <row r="2" spans="2:19" ht="25.8" x14ac:dyDescent="0.5">
      <c r="B2" s="25" t="s">
        <v>0</v>
      </c>
      <c r="C2" s="25"/>
      <c r="D2" s="25"/>
      <c r="E2" s="25"/>
      <c r="F2" s="25"/>
      <c r="G2" s="25" t="s">
        <v>28</v>
      </c>
      <c r="H2" s="25"/>
      <c r="I2" s="25"/>
      <c r="J2" s="25"/>
      <c r="K2" s="25"/>
      <c r="L2" s="25"/>
      <c r="M2" s="25" t="s">
        <v>29</v>
      </c>
      <c r="N2" s="25"/>
      <c r="O2" s="25"/>
      <c r="P2" s="25"/>
      <c r="Q2" s="25"/>
      <c r="R2" s="14"/>
    </row>
    <row r="3" spans="2:19" ht="16.2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5" t="s">
        <v>8</v>
      </c>
      <c r="N3" s="5" t="s">
        <v>10</v>
      </c>
      <c r="O3" s="5" t="s">
        <v>33</v>
      </c>
      <c r="P3" s="5" t="s">
        <v>16</v>
      </c>
      <c r="Q3" s="5" t="s">
        <v>17</v>
      </c>
      <c r="R3" s="4"/>
    </row>
    <row r="4" spans="2:19" x14ac:dyDescent="0.3">
      <c r="B4" s="4"/>
      <c r="C4" s="20" t="s">
        <v>34</v>
      </c>
      <c r="D4" s="4"/>
      <c r="E4" s="4"/>
      <c r="F4" s="4"/>
      <c r="G4" s="4"/>
      <c r="H4" s="4"/>
      <c r="I4" s="4"/>
      <c r="J4" s="4"/>
      <c r="K4" s="4"/>
      <c r="L4" s="4"/>
      <c r="M4" s="11">
        <f ca="1">OFFSET(trajectoires!A3, trajectoires!$F$2,0)</f>
        <v>0</v>
      </c>
      <c r="N4" s="11">
        <f ca="1">OFFSET(trajectoires!B3, trajectoires!$F$2,0)</f>
        <v>40</v>
      </c>
      <c r="O4" s="11">
        <f ca="1">OFFSET(trajectoires!C3, trajectoires!$F$2,0)</f>
        <v>40</v>
      </c>
      <c r="P4" s="11">
        <f ca="1">OFFSET(trajectoires!D3, trajectoires!$F$2,0)</f>
        <v>40</v>
      </c>
      <c r="Q4" s="11">
        <f ca="1">OFFSET(trajectoires!E3, trajectoires!$F$2,0)</f>
        <v>40</v>
      </c>
      <c r="R4" s="4"/>
    </row>
    <row r="5" spans="2:19" x14ac:dyDescent="0.3">
      <c r="B5" s="6" t="s">
        <v>6</v>
      </c>
      <c r="C5" s="15">
        <v>40</v>
      </c>
      <c r="D5" s="4"/>
      <c r="E5" s="4"/>
      <c r="F5" s="4"/>
      <c r="G5" s="4"/>
      <c r="H5" s="4"/>
      <c r="I5" s="4"/>
      <c r="J5" s="4"/>
      <c r="K5" s="4"/>
      <c r="L5" s="4"/>
      <c r="M5" s="11">
        <f ca="1">OFFSET(trajectoires!A4, trajectoires!$F$2,0)</f>
        <v>0.02</v>
      </c>
      <c r="N5" s="11">
        <f ca="1">OFFSET(trajectoires!B4, trajectoires!$F$2,0)</f>
        <v>39.659723106351315</v>
      </c>
      <c r="O5" s="11">
        <f ca="1">OFFSET(trajectoires!C4, trajectoires!$F$2,0)</f>
        <v>40.420276893648683</v>
      </c>
      <c r="P5" s="11">
        <f ca="1">OFFSET(trajectoires!D4, trajectoires!$F$2,0)</f>
        <v>39.849682359317072</v>
      </c>
      <c r="Q5" s="11">
        <f ca="1">OFFSET(trajectoires!E4, trajectoires!$F$2,0)</f>
        <v>39.849682359317072</v>
      </c>
      <c r="R5" s="4"/>
      <c r="S5" s="3"/>
    </row>
    <row r="6" spans="2:19" x14ac:dyDescent="0.3">
      <c r="B6" s="6" t="s">
        <v>9</v>
      </c>
      <c r="C6" s="16">
        <v>35</v>
      </c>
      <c r="D6" s="4"/>
      <c r="E6" s="4"/>
      <c r="F6" s="4"/>
      <c r="G6" s="4"/>
      <c r="H6" s="4"/>
      <c r="I6" s="4"/>
      <c r="J6" s="4"/>
      <c r="K6" s="4"/>
      <c r="L6" s="4"/>
      <c r="M6" s="11">
        <f ca="1">OFFSET(trajectoires!A5, trajectoires!$F$2,0)</f>
        <v>0.04</v>
      </c>
      <c r="N6" s="11">
        <f ca="1">OFFSET(trajectoires!B5, trajectoires!$F$2,0)</f>
        <v>39.704693876401642</v>
      </c>
      <c r="O6" s="11">
        <f ca="1">OFFSET(trajectoires!C5, trajectoires!$F$2,0)</f>
        <v>40.455232618707214</v>
      </c>
      <c r="P6" s="11">
        <f ca="1">OFFSET(trajectoires!D5, trajectoires!$F$2,0)</f>
        <v>39.851808811510942</v>
      </c>
      <c r="Q6" s="11">
        <f ca="1">OFFSET(trajectoires!E5, trajectoires!$F$2,0)</f>
        <v>39.851808811510942</v>
      </c>
      <c r="R6" s="4"/>
      <c r="S6" s="3"/>
    </row>
    <row r="7" spans="2:19" x14ac:dyDescent="0.3">
      <c r="B7" s="6" t="s">
        <v>1</v>
      </c>
      <c r="C7" s="16">
        <v>0.05</v>
      </c>
      <c r="D7" s="4"/>
      <c r="E7" s="4"/>
      <c r="F7" s="4"/>
      <c r="G7" s="4"/>
      <c r="H7" s="4"/>
      <c r="I7" s="4"/>
      <c r="J7" s="4"/>
      <c r="K7" s="4"/>
      <c r="L7" s="4"/>
      <c r="M7" s="11">
        <f ca="1">OFFSET(trajectoires!A6, trajectoires!$F$2,0)</f>
        <v>0.06</v>
      </c>
      <c r="N7" s="11">
        <f ca="1">OFFSET(trajectoires!B6, trajectoires!$F$2,0)</f>
        <v>40.015343030169078</v>
      </c>
      <c r="O7" s="11">
        <f ca="1">OFFSET(trajectoires!C6, trajectoires!$F$2,0)</f>
        <v>40.217024695331752</v>
      </c>
      <c r="P7" s="11">
        <f ca="1">OFFSET(trajectoires!D6, trajectoires!$F$2,0)</f>
        <v>39.960106078622573</v>
      </c>
      <c r="Q7" s="11">
        <f ca="1">OFFSET(trajectoires!E6, trajectoires!$F$2,0)</f>
        <v>39.960106078622573</v>
      </c>
      <c r="R7" s="4"/>
      <c r="S7" s="3"/>
    </row>
    <row r="8" spans="2:19" x14ac:dyDescent="0.3">
      <c r="B8" s="6" t="s">
        <v>2</v>
      </c>
      <c r="C8" s="17">
        <v>0.01</v>
      </c>
      <c r="D8" s="4"/>
      <c r="E8" s="4"/>
      <c r="F8" s="4"/>
      <c r="G8" s="4"/>
      <c r="H8" s="4"/>
      <c r="I8" s="4"/>
      <c r="J8" s="4"/>
      <c r="K8" s="4"/>
      <c r="L8" s="4"/>
      <c r="M8" s="11">
        <f ca="1">OFFSET(trajectoires!A7, trajectoires!$F$2,0)</f>
        <v>0.08</v>
      </c>
      <c r="N8" s="11">
        <f ca="1">OFFSET(trajectoires!B7, trajectoires!$F$2,0)</f>
        <v>39.976685305003208</v>
      </c>
      <c r="O8" s="11">
        <f ca="1">OFFSET(trajectoires!C7, trajectoires!$F$2,0)</f>
        <v>40.336510318218927</v>
      </c>
      <c r="P8" s="11">
        <f ca="1">OFFSET(trajectoires!D7, trajectoires!$F$2,0)</f>
        <v>39.929025702103928</v>
      </c>
      <c r="Q8" s="11">
        <f ca="1">OFFSET(trajectoires!E7, trajectoires!$F$2,0)</f>
        <v>39.929025702103928</v>
      </c>
      <c r="R8" s="4"/>
    </row>
    <row r="9" spans="2:19" x14ac:dyDescent="0.3">
      <c r="B9" s="6"/>
      <c r="C9" s="6"/>
      <c r="D9" s="4"/>
      <c r="E9" s="4"/>
      <c r="F9" s="4"/>
      <c r="G9" s="4"/>
      <c r="H9" s="4"/>
      <c r="I9" s="4"/>
      <c r="J9" s="4"/>
      <c r="K9" s="4"/>
      <c r="L9" s="4"/>
      <c r="M9" s="11">
        <f ca="1">OFFSET(trajectoires!A8, trajectoires!$F$2,0)</f>
        <v>0.1</v>
      </c>
      <c r="N9" s="11">
        <f ca="1">OFFSET(trajectoires!B8, trajectoires!$F$2,0)</f>
        <v>39.88886342080702</v>
      </c>
      <c r="O9" s="11">
        <f ca="1">OFFSET(trajectoires!C8, trajectoires!$F$2,0)</f>
        <v>40.506374722647607</v>
      </c>
      <c r="P9" s="11">
        <f ca="1">OFFSET(trajectoires!D8, trajectoires!$F$2,0)</f>
        <v>39.878464682826291</v>
      </c>
      <c r="Q9" s="11">
        <f ca="1">OFFSET(trajectoires!E8, trajectoires!$F$2,0)</f>
        <v>39.878464682826291</v>
      </c>
      <c r="R9" s="4"/>
    </row>
    <row r="10" spans="2:19" x14ac:dyDescent="0.3">
      <c r="B10" s="6" t="s">
        <v>4</v>
      </c>
      <c r="C10" s="19">
        <v>50</v>
      </c>
      <c r="D10" s="4"/>
      <c r="E10" s="4"/>
      <c r="F10" s="4"/>
      <c r="G10" s="4"/>
      <c r="H10" s="4"/>
      <c r="I10" s="4"/>
      <c r="J10" s="4"/>
      <c r="K10" s="4"/>
      <c r="L10" s="4"/>
      <c r="M10" s="11">
        <f ca="1">OFFSET(trajectoires!A9, trajectoires!$F$2,0)</f>
        <v>0.12000000000000001</v>
      </c>
      <c r="N10" s="11">
        <f ca="1">OFFSET(trajectoires!B9, trajectoires!$F$2,0)</f>
        <v>39.767018175638178</v>
      </c>
      <c r="O10" s="11">
        <f ca="1">OFFSET(trajectoires!C9, trajectoires!$F$2,0)</f>
        <v>40.712385362593615</v>
      </c>
      <c r="P10" s="11">
        <f ca="1">OFFSET(trajectoires!D9, trajectoires!$F$2,0)</f>
        <v>39.814266294348606</v>
      </c>
      <c r="Q10" s="11">
        <f ca="1">OFFSET(trajectoires!E9, trajectoires!$F$2,0)</f>
        <v>39.814266294348606</v>
      </c>
      <c r="R10" s="4"/>
    </row>
    <row r="11" spans="2:19" x14ac:dyDescent="0.3">
      <c r="B11" s="6" t="s">
        <v>3</v>
      </c>
      <c r="C11" s="19">
        <v>1</v>
      </c>
      <c r="D11" s="4"/>
      <c r="E11" s="4"/>
      <c r="F11" s="4"/>
      <c r="G11" s="4"/>
      <c r="H11" s="4"/>
      <c r="I11" s="4"/>
      <c r="J11" s="4"/>
      <c r="K11" s="4"/>
      <c r="L11" s="4"/>
      <c r="M11" s="11">
        <f ca="1">OFFSET(trajectoires!A10, trajectoires!$F$2,0)</f>
        <v>0.14000000000000001</v>
      </c>
      <c r="N11" s="11">
        <f ca="1">OFFSET(trajectoires!B10, trajectoires!$F$2,0)</f>
        <v>40.302970306004411</v>
      </c>
      <c r="O11" s="11">
        <f ca="1">OFFSET(trajectoires!C10, trajectoires!$F$2,0)</f>
        <v>40.23911444527846</v>
      </c>
      <c r="P11" s="11">
        <f ca="1">OFFSET(trajectoires!D10, trajectoires!$F$2,0)</f>
        <v>40.012126833266329</v>
      </c>
      <c r="Q11" s="11">
        <f ca="1">OFFSET(trajectoires!E10, trajectoires!$F$2,0)</f>
        <v>40.012126833266329</v>
      </c>
      <c r="R11" s="4"/>
    </row>
    <row r="12" spans="2:19" x14ac:dyDescent="0.3">
      <c r="B12" s="6"/>
      <c r="C12" s="4"/>
      <c r="D12" s="4"/>
      <c r="E12" s="4"/>
      <c r="F12" s="4"/>
      <c r="G12" s="4"/>
      <c r="H12" s="4"/>
      <c r="I12" s="4"/>
      <c r="J12" s="4"/>
      <c r="K12" s="4"/>
      <c r="L12" s="4"/>
      <c r="M12" s="11">
        <f ca="1">OFFSET(trajectoires!A11, trajectoires!$F$2,0)</f>
        <v>0.16</v>
      </c>
      <c r="N12" s="11">
        <f ca="1">OFFSET(trajectoires!B11, trajectoires!$F$2,0)</f>
        <v>40.297314373414274</v>
      </c>
      <c r="O12" s="11">
        <f ca="1">OFFSET(trajectoires!C11, trajectoires!$F$2,0)</f>
        <v>40.325203280249816</v>
      </c>
      <c r="P12" s="11">
        <f ca="1">OFFSET(trajectoires!D11, trajectoires!$F$2,0)</f>
        <v>39.9941644453558</v>
      </c>
      <c r="Q12" s="11">
        <f ca="1">OFFSET(trajectoires!E11, trajectoires!$F$2,0)</f>
        <v>39.9941644453558</v>
      </c>
      <c r="R12" s="4"/>
    </row>
    <row r="13" spans="2:19" x14ac:dyDescent="0.3">
      <c r="B13" s="6" t="s">
        <v>7</v>
      </c>
      <c r="C13" s="19">
        <v>6</v>
      </c>
      <c r="D13" s="4"/>
      <c r="E13" s="4"/>
      <c r="F13" s="4"/>
      <c r="G13" s="4"/>
      <c r="H13" s="4"/>
      <c r="I13" s="4"/>
      <c r="J13" s="4"/>
      <c r="K13" s="4"/>
      <c r="L13" s="4"/>
      <c r="M13" s="11">
        <f ca="1">OFFSET(trajectoires!A12, trajectoires!$F$2,0)</f>
        <v>0.18</v>
      </c>
      <c r="N13" s="11">
        <f ca="1">OFFSET(trajectoires!B12, trajectoires!$F$2,0)</f>
        <v>40.495432755431359</v>
      </c>
      <c r="O13" s="11">
        <f ca="1">OFFSET(trajectoires!C12, trajectoires!$F$2,0)</f>
        <v>40.207543550679567</v>
      </c>
      <c r="P13" s="11">
        <f ca="1">OFFSET(trajectoires!D12, trajectoires!$F$2,0)</f>
        <v>40.055859566576856</v>
      </c>
      <c r="Q13" s="11">
        <f ca="1">OFFSET(trajectoires!E12, trajectoires!$F$2,0)</f>
        <v>40.055859566576856</v>
      </c>
      <c r="R13" s="4"/>
    </row>
    <row r="14" spans="2:19" x14ac:dyDescent="0.3">
      <c r="B14" s="6" t="s">
        <v>5</v>
      </c>
      <c r="C14" s="18">
        <v>5000</v>
      </c>
      <c r="D14" s="4"/>
      <c r="E14" s="4"/>
      <c r="F14" s="4"/>
      <c r="G14" s="4"/>
      <c r="H14" s="4"/>
      <c r="I14" s="4"/>
      <c r="J14" s="4"/>
      <c r="K14" s="4"/>
      <c r="L14" s="4"/>
      <c r="M14" s="11">
        <f ca="1">OFFSET(trajectoires!A13, trajectoires!$F$2,0)</f>
        <v>0.19999999999999998</v>
      </c>
      <c r="N14" s="11">
        <f ca="1">OFFSET(trajectoires!B13, trajectoires!$F$2,0)</f>
        <v>40.068880918993557</v>
      </c>
      <c r="O14" s="11">
        <f ca="1">OFFSET(trajectoires!C13, trajectoires!$F$2,0)</f>
        <v>40.709826743070039</v>
      </c>
      <c r="P14" s="11">
        <f ca="1">OFFSET(trajectoires!D13, trajectoires!$F$2,0)</f>
        <v>39.874620519327429</v>
      </c>
      <c r="Q14" s="11">
        <f ca="1">OFFSET(trajectoires!E13, trajectoires!$F$2,0)</f>
        <v>39.874620519327429</v>
      </c>
      <c r="R14" s="4"/>
    </row>
    <row r="15" spans="2:19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2:19" ht="25.8" x14ac:dyDescent="0.3">
      <c r="B16" s="25" t="s">
        <v>11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4"/>
    </row>
    <row r="17" spans="2:19" x14ac:dyDescent="0.3">
      <c r="B17" s="1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7"/>
      <c r="O17" s="5" t="s">
        <v>30</v>
      </c>
      <c r="P17" s="5" t="s">
        <v>12</v>
      </c>
      <c r="Q17" s="5" t="s">
        <v>32</v>
      </c>
      <c r="R17" s="4"/>
    </row>
    <row r="18" spans="2:19" x14ac:dyDescent="0.3">
      <c r="B18" s="2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6" t="str">
        <f>IC!A3</f>
        <v>C_inf</v>
      </c>
      <c r="O18" s="12">
        <f>IC!C3</f>
        <v>5.7413405661810595</v>
      </c>
      <c r="P18" s="9">
        <f>IC!D3-IC!B3</f>
        <v>8.0573119754232536E-2</v>
      </c>
      <c r="Q18" s="8">
        <f>IC!E3</f>
        <v>9.0000003576278687E-2</v>
      </c>
      <c r="R18" s="4"/>
    </row>
    <row r="19" spans="2:19" x14ac:dyDescent="0.3">
      <c r="B19" s="2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6" t="str">
        <f>IC!A4</f>
        <v>C_5nt</v>
      </c>
      <c r="O19" s="12">
        <f>IC!C4</f>
        <v>5.7324615199439695</v>
      </c>
      <c r="P19" s="9">
        <f>IC!D4-IC!B4</f>
        <v>3.5722893485738538E-2</v>
      </c>
      <c r="Q19" s="8">
        <f>IC!E4</f>
        <v>0.61299997568130493</v>
      </c>
      <c r="R19" s="4"/>
    </row>
    <row r="20" spans="2:19" x14ac:dyDescent="0.3">
      <c r="B20" s="1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6" t="str">
        <f>IC!A5</f>
        <v>C_anti</v>
      </c>
      <c r="O20" s="12">
        <f>IC!C5</f>
        <v>5.7224442572054883</v>
      </c>
      <c r="P20" s="9">
        <f>IC!D5-IC!B5</f>
        <v>8.0729664152604741E-2</v>
      </c>
      <c r="Q20" s="8">
        <f>IC!E5</f>
        <v>0.15600000321865082</v>
      </c>
      <c r="R20" s="4"/>
    </row>
    <row r="21" spans="2:19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6" t="str">
        <f>IC!A6</f>
        <v>VC_1</v>
      </c>
      <c r="O21" s="12">
        <f>IC!C6</f>
        <v>5.7208250705814887</v>
      </c>
      <c r="P21" s="9">
        <f>IC!D6-IC!B6</f>
        <v>7.850082824018223E-2</v>
      </c>
      <c r="Q21" s="8">
        <f>IC!E6</f>
        <v>8.2000000000000003E-2</v>
      </c>
      <c r="R21" s="4"/>
    </row>
    <row r="22" spans="2:19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6" t="str">
        <f>IC!A7</f>
        <v>VC_2</v>
      </c>
      <c r="O22" s="12">
        <f>IC!C7</f>
        <v>5.7340472431199334</v>
      </c>
      <c r="P22" s="9">
        <f>IC!D7-IC!B7</f>
        <v>4.5298993967112011E-2</v>
      </c>
      <c r="Q22" s="8">
        <f>IC!E7</f>
        <v>8.2000002264976501E-2</v>
      </c>
      <c r="R22" s="4"/>
    </row>
    <row r="23" spans="2:19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21" t="str">
        <f>IC!A8</f>
        <v>C_N</v>
      </c>
      <c r="O23" s="22">
        <f>IC!C8</f>
        <v>5.6969294859090622</v>
      </c>
      <c r="P23" s="23">
        <f>IC!D8-IC!B8</f>
        <v>7.9656401255133957E-2</v>
      </c>
      <c r="Q23" s="24">
        <f>IC!E8</f>
        <v>8.2000002264976501E-2</v>
      </c>
      <c r="R23" s="4"/>
    </row>
    <row r="24" spans="2:19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2:19" ht="13.2" customHeight="1" x14ac:dyDescent="0.3">
      <c r="S25" s="10"/>
    </row>
  </sheetData>
  <mergeCells count="5">
    <mergeCell ref="B2:F2"/>
    <mergeCell ref="M2:Q2"/>
    <mergeCell ref="B16:Q16"/>
    <mergeCell ref="G2:L2"/>
    <mergeCell ref="B18:B19"/>
  </mergeCells>
  <conditionalFormatting sqref="P18:P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{8D5A6951-A19F-4E2A-9F5D-A2AC975A3F20}</x14:id>
        </ext>
      </extLst>
    </cfRule>
  </conditionalFormatting>
  <conditionalFormatting sqref="Q18:Q2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count="1">
    <dataValidation type="whole" errorStyle="warning" allowBlank="1" showInputMessage="1" showErrorMessage="1" errorTitle="Numero trop haut ou bas" error="Numero trop haut ou bas" promptTitle="Nombre de sous-intervalles" prompt="Choissisez les nombre des intervalles avec lesquelles le prix X_N est calculé" sqref="C13" xr:uid="{E8CD53C7-E4B5-4194-A0FC-EF16AB7C27E2}">
      <formula1>1</formula1>
      <formula2>C10/2-1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17</xdr:col>
                    <xdr:colOff>7620</xdr:colOff>
                    <xdr:row>3</xdr:row>
                    <xdr:rowOff>7620</xdr:rowOff>
                  </from>
                  <to>
                    <xdr:col>17</xdr:col>
                    <xdr:colOff>182880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5A6951-A19F-4E2A-9F5D-A2AC975A3F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P18:P23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nt trop haut" error="Excel ne peut pas afficher plus que 250 trajectoires sur un graphique._x000a_Il faut mettre au moins &quot;1&quot;." promptTitle="nombre des trajectoires" prompt="Veuillez-vous donner le nombre des trajectoires." xr:uid="{FC6DBB3F-37BD-4EE9-9CC2-40431F20D21A}">
          <x14:formula1>
            <xm:f>trajectoires!G:G</xm:f>
          </x14:formula1>
          <xm:sqref>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R53"/>
  <sheetViews>
    <sheetView workbookViewId="0">
      <selection sqref="A1:E1"/>
    </sheetView>
  </sheetViews>
  <sheetFormatPr defaultRowHeight="14.4" x14ac:dyDescent="0.3"/>
  <sheetData>
    <row r="1" spans="1:18" x14ac:dyDescent="0.3">
      <c r="A1" s="27" t="s">
        <v>38</v>
      </c>
      <c r="B1" s="27"/>
      <c r="C1" s="27"/>
      <c r="D1" s="27"/>
      <c r="E1" s="27"/>
      <c r="F1" s="28" t="s">
        <v>26</v>
      </c>
      <c r="G1" s="28"/>
      <c r="H1" s="28"/>
      <c r="I1" s="29" t="s">
        <v>37</v>
      </c>
      <c r="J1" s="29"/>
      <c r="K1" s="29"/>
      <c r="L1" s="29"/>
      <c r="M1" s="29"/>
      <c r="N1" s="29"/>
      <c r="O1" s="29"/>
      <c r="P1" s="29"/>
      <c r="Q1" s="29"/>
      <c r="R1" s="29"/>
    </row>
    <row r="2" spans="1:18" x14ac:dyDescent="0.3">
      <c r="A2" s="1" t="s">
        <v>15</v>
      </c>
      <c r="B2" s="1" t="s">
        <v>24</v>
      </c>
      <c r="C2" s="1" t="s">
        <v>25</v>
      </c>
      <c r="D2" s="1" t="s">
        <v>16</v>
      </c>
      <c r="E2" s="1" t="s">
        <v>17</v>
      </c>
      <c r="F2">
        <v>0</v>
      </c>
    </row>
    <row r="3" spans="1:18" x14ac:dyDescent="0.3">
      <c r="A3">
        <v>0</v>
      </c>
      <c r="B3">
        <v>40</v>
      </c>
      <c r="C3">
        <v>40</v>
      </c>
      <c r="D3">
        <v>40</v>
      </c>
      <c r="E3">
        <v>40</v>
      </c>
      <c r="I3">
        <v>40</v>
      </c>
      <c r="J3">
        <v>40</v>
      </c>
      <c r="K3">
        <v>40</v>
      </c>
      <c r="L3">
        <v>40</v>
      </c>
      <c r="M3">
        <v>40</v>
      </c>
      <c r="N3">
        <v>40</v>
      </c>
      <c r="O3">
        <v>40</v>
      </c>
      <c r="P3">
        <v>40</v>
      </c>
      <c r="Q3">
        <v>40</v>
      </c>
      <c r="R3">
        <v>40</v>
      </c>
    </row>
    <row r="4" spans="1:18" x14ac:dyDescent="0.3">
      <c r="A4">
        <v>0.02</v>
      </c>
      <c r="B4">
        <v>39.659723106351315</v>
      </c>
      <c r="C4">
        <v>40.420276893648683</v>
      </c>
      <c r="D4">
        <v>39.849682359317072</v>
      </c>
      <c r="E4">
        <v>39.849682359317072</v>
      </c>
      <c r="I4">
        <v>40.335678492873711</v>
      </c>
      <c r="J4">
        <v>40.471596303847875</v>
      </c>
      <c r="K4">
        <v>40.164128082408169</v>
      </c>
      <c r="L4">
        <v>40.157238601580893</v>
      </c>
      <c r="M4">
        <v>40.309530095727418</v>
      </c>
      <c r="N4">
        <v>40.133093258790105</v>
      </c>
      <c r="O4">
        <v>40.161807023440218</v>
      </c>
      <c r="P4">
        <v>40.383266215971496</v>
      </c>
      <c r="Q4">
        <v>40.451387618731225</v>
      </c>
      <c r="R4">
        <v>39.834337930666102</v>
      </c>
    </row>
    <row r="5" spans="1:18" x14ac:dyDescent="0.3">
      <c r="A5">
        <v>0.04</v>
      </c>
      <c r="B5">
        <v>39.704693876401642</v>
      </c>
      <c r="C5">
        <v>40.455232618707214</v>
      </c>
      <c r="D5">
        <v>39.851808811510942</v>
      </c>
      <c r="E5">
        <v>39.851808811510942</v>
      </c>
      <c r="I5">
        <v>40.402392052426485</v>
      </c>
      <c r="J5">
        <v>40.572212339190862</v>
      </c>
      <c r="K5">
        <v>40.659065572101618</v>
      </c>
      <c r="L5">
        <v>40.463155922448252</v>
      </c>
      <c r="M5">
        <v>40.698136648075113</v>
      </c>
      <c r="N5">
        <v>40.508048115569437</v>
      </c>
      <c r="O5">
        <v>40.287588740378226</v>
      </c>
      <c r="P5">
        <v>40.296453358048701</v>
      </c>
      <c r="Q5">
        <v>41.132614845261443</v>
      </c>
      <c r="R5">
        <v>40.34556305001994</v>
      </c>
    </row>
    <row r="6" spans="1:18" x14ac:dyDescent="0.3">
      <c r="A6">
        <v>0.06</v>
      </c>
      <c r="B6">
        <v>40.015343030169078</v>
      </c>
      <c r="C6">
        <v>40.217024695331752</v>
      </c>
      <c r="D6">
        <v>39.960106078622573</v>
      </c>
      <c r="E6">
        <v>39.960106078622573</v>
      </c>
      <c r="I6">
        <v>40.457183176174269</v>
      </c>
      <c r="J6">
        <v>41.123705594675513</v>
      </c>
      <c r="K6">
        <v>40.619432783714906</v>
      </c>
      <c r="L6">
        <v>40.589380072756263</v>
      </c>
      <c r="M6">
        <v>40.686744388474345</v>
      </c>
      <c r="N6">
        <v>40.595355369296897</v>
      </c>
      <c r="O6">
        <v>40.830728882569787</v>
      </c>
      <c r="P6">
        <v>40.929918761008587</v>
      </c>
      <c r="Q6">
        <v>40.847718742127732</v>
      </c>
      <c r="R6">
        <v>40.827428865607061</v>
      </c>
    </row>
    <row r="7" spans="1:18" x14ac:dyDescent="0.3">
      <c r="A7">
        <v>0.08</v>
      </c>
      <c r="B7">
        <v>39.976685305003208</v>
      </c>
      <c r="C7">
        <v>40.336510318218927</v>
      </c>
      <c r="D7">
        <v>39.929025702103928</v>
      </c>
      <c r="E7">
        <v>39.929025702103928</v>
      </c>
      <c r="I7">
        <v>40.310397636357472</v>
      </c>
      <c r="J7">
        <v>41.195827189954016</v>
      </c>
      <c r="K7">
        <v>39.900117018378701</v>
      </c>
      <c r="L7">
        <v>40.72085423574292</v>
      </c>
      <c r="M7">
        <v>40.734251619714186</v>
      </c>
      <c r="N7">
        <v>40.818130704616564</v>
      </c>
      <c r="O7">
        <v>40.911530926035837</v>
      </c>
      <c r="P7">
        <v>41.000969475757472</v>
      </c>
      <c r="Q7">
        <v>41.2206821996214</v>
      </c>
      <c r="R7">
        <v>40.703650368471735</v>
      </c>
    </row>
    <row r="8" spans="1:18" x14ac:dyDescent="0.3">
      <c r="A8">
        <v>0.1</v>
      </c>
      <c r="B8">
        <v>39.88886342080702</v>
      </c>
      <c r="C8">
        <v>40.506374722647607</v>
      </c>
      <c r="D8">
        <v>39.878464682826291</v>
      </c>
      <c r="E8">
        <v>39.878464682826291</v>
      </c>
      <c r="I8">
        <v>40.796211629820561</v>
      </c>
      <c r="J8">
        <v>40.707495986602723</v>
      </c>
      <c r="K8">
        <v>39.720649991888784</v>
      </c>
      <c r="L8">
        <v>41.201709774873535</v>
      </c>
      <c r="M8">
        <v>40.803805976626748</v>
      </c>
      <c r="N8">
        <v>40.57440021948328</v>
      </c>
      <c r="O8">
        <v>41.317433943524733</v>
      </c>
      <c r="P8">
        <v>40.22683563630266</v>
      </c>
      <c r="Q8">
        <v>40.805352148609451</v>
      </c>
      <c r="R8">
        <v>40.71730002184318</v>
      </c>
    </row>
    <row r="9" spans="1:18" x14ac:dyDescent="0.3">
      <c r="A9">
        <v>0.12000000000000001</v>
      </c>
      <c r="B9">
        <v>39.767018175638178</v>
      </c>
      <c r="C9">
        <v>40.712385362593615</v>
      </c>
      <c r="D9">
        <v>39.814266294348606</v>
      </c>
      <c r="E9">
        <v>39.814266294348606</v>
      </c>
      <c r="I9">
        <v>39.734119483545378</v>
      </c>
      <c r="J9">
        <v>40.395492430442999</v>
      </c>
      <c r="K9">
        <v>39.922505913766493</v>
      </c>
      <c r="L9">
        <v>40.987320658969963</v>
      </c>
      <c r="M9">
        <v>41.206931498166895</v>
      </c>
      <c r="N9">
        <v>40.648470619545066</v>
      </c>
      <c r="O9">
        <v>41.52688213628273</v>
      </c>
      <c r="P9">
        <v>39.39863215600969</v>
      </c>
      <c r="Q9">
        <v>40.526052221939672</v>
      </c>
      <c r="R9">
        <v>40.820585599515717</v>
      </c>
    </row>
    <row r="10" spans="1:18" x14ac:dyDescent="0.3">
      <c r="A10">
        <v>0.14000000000000001</v>
      </c>
      <c r="B10">
        <v>40.302970306004411</v>
      </c>
      <c r="C10">
        <v>40.23911444527846</v>
      </c>
      <c r="D10">
        <v>40.012126833266329</v>
      </c>
      <c r="E10">
        <v>40.012126833266329</v>
      </c>
      <c r="I10">
        <v>40.626708306999028</v>
      </c>
      <c r="J10">
        <v>41.131938627113335</v>
      </c>
      <c r="K10">
        <v>39.594484987930272</v>
      </c>
      <c r="L10">
        <v>41.045533955137763</v>
      </c>
      <c r="M10">
        <v>41.265418395217708</v>
      </c>
      <c r="N10">
        <v>40.733957414274059</v>
      </c>
      <c r="O10">
        <v>41.381605070930895</v>
      </c>
      <c r="P10">
        <v>39.062117684296439</v>
      </c>
      <c r="Q10">
        <v>41.038766536825733</v>
      </c>
      <c r="R10">
        <v>41.14905848492927</v>
      </c>
    </row>
    <row r="11" spans="1:18" x14ac:dyDescent="0.3">
      <c r="A11">
        <v>0.16</v>
      </c>
      <c r="B11">
        <v>40.297314373414274</v>
      </c>
      <c r="C11">
        <v>40.325203280249816</v>
      </c>
      <c r="D11">
        <v>39.9941644453558</v>
      </c>
      <c r="E11">
        <v>39.9941644453558</v>
      </c>
      <c r="I11">
        <v>40.708804409060726</v>
      </c>
      <c r="J11">
        <v>41.22629027668188</v>
      </c>
      <c r="K11">
        <v>39.386934187290763</v>
      </c>
      <c r="L11">
        <v>41.336247607234419</v>
      </c>
      <c r="M11">
        <v>41.525325440400941</v>
      </c>
      <c r="N11">
        <v>40.280279251583679</v>
      </c>
      <c r="O11">
        <v>40.549282691923345</v>
      </c>
      <c r="P11">
        <v>38.950911350698426</v>
      </c>
      <c r="Q11">
        <v>41.295566978077559</v>
      </c>
      <c r="R11">
        <v>41.455375722810345</v>
      </c>
    </row>
    <row r="12" spans="1:18" x14ac:dyDescent="0.3">
      <c r="A12">
        <v>0.18</v>
      </c>
      <c r="B12">
        <v>40.495432755431359</v>
      </c>
      <c r="C12">
        <v>40.207543550679567</v>
      </c>
      <c r="D12">
        <v>40.055859566576856</v>
      </c>
      <c r="E12">
        <v>40.055859566576856</v>
      </c>
      <c r="I12">
        <v>41.229528264625316</v>
      </c>
      <c r="J12">
        <v>41.297303455988462</v>
      </c>
      <c r="K12">
        <v>38.819881237878008</v>
      </c>
      <c r="L12">
        <v>41.724332842679637</v>
      </c>
      <c r="M12">
        <v>41.112322939032872</v>
      </c>
      <c r="N12">
        <v>40.097079230918652</v>
      </c>
      <c r="O12">
        <v>40.457553736207679</v>
      </c>
      <c r="P12">
        <v>38.261926557613876</v>
      </c>
      <c r="Q12">
        <v>40.840003486922633</v>
      </c>
      <c r="R12">
        <v>41.446541958154832</v>
      </c>
    </row>
    <row r="13" spans="1:18" x14ac:dyDescent="0.3">
      <c r="A13">
        <v>0.19999999999999998</v>
      </c>
      <c r="B13">
        <v>40.068880918993557</v>
      </c>
      <c r="C13">
        <v>40.709826743070039</v>
      </c>
      <c r="D13">
        <v>39.874620519327429</v>
      </c>
      <c r="E13">
        <v>39.874620519327429</v>
      </c>
      <c r="I13">
        <v>41.23949347702829</v>
      </c>
      <c r="J13">
        <v>41.301871197141502</v>
      </c>
      <c r="K13">
        <v>38.951886833327897</v>
      </c>
      <c r="L13">
        <v>41.868306958565285</v>
      </c>
      <c r="M13">
        <v>40.928207594942272</v>
      </c>
      <c r="N13">
        <v>40.418749361657198</v>
      </c>
      <c r="O13">
        <v>40.407934691601554</v>
      </c>
      <c r="P13">
        <v>38.549113720049895</v>
      </c>
      <c r="Q13">
        <v>41.155747184349352</v>
      </c>
      <c r="R13">
        <v>41.60995539935081</v>
      </c>
    </row>
    <row r="14" spans="1:18" x14ac:dyDescent="0.3">
      <c r="A14">
        <v>0.21999999999999997</v>
      </c>
      <c r="B14">
        <v>40.431924997472187</v>
      </c>
      <c r="C14">
        <v>40.419780948565183</v>
      </c>
      <c r="D14">
        <v>40.001958615579589</v>
      </c>
      <c r="E14">
        <v>40.001958615579589</v>
      </c>
      <c r="I14">
        <v>41.060296747790716</v>
      </c>
      <c r="J14">
        <v>41.390462734240636</v>
      </c>
      <c r="K14">
        <v>38.997653054454872</v>
      </c>
      <c r="L14">
        <v>42.103284900873739</v>
      </c>
      <c r="M14">
        <v>40.915132874896443</v>
      </c>
      <c r="N14">
        <v>40.476283034366254</v>
      </c>
      <c r="O14">
        <v>40.062274621797812</v>
      </c>
      <c r="P14">
        <v>38.504911965560218</v>
      </c>
      <c r="Q14">
        <v>42.158503614171771</v>
      </c>
      <c r="R14">
        <v>41.272402275003707</v>
      </c>
    </row>
    <row r="15" spans="1:18" x14ac:dyDescent="0.3">
      <c r="A15">
        <v>0.23999999999999996</v>
      </c>
      <c r="B15">
        <v>40.858888358698778</v>
      </c>
      <c r="C15">
        <v>40.07384342687488</v>
      </c>
      <c r="D15">
        <v>40.152306801392506</v>
      </c>
      <c r="E15">
        <v>40.152306801392506</v>
      </c>
      <c r="I15">
        <v>41.13610487467048</v>
      </c>
      <c r="J15">
        <v>41.90641144011844</v>
      </c>
      <c r="K15">
        <v>38.653883303708533</v>
      </c>
      <c r="L15">
        <v>42.106223090211159</v>
      </c>
      <c r="M15">
        <v>40.163622151759213</v>
      </c>
      <c r="N15">
        <v>40.366992005518007</v>
      </c>
      <c r="O15">
        <v>39.984161876992566</v>
      </c>
      <c r="P15">
        <v>38.594009424035512</v>
      </c>
      <c r="Q15">
        <v>41.836824002482125</v>
      </c>
      <c r="R15">
        <v>41.709091520536511</v>
      </c>
    </row>
    <row r="16" spans="1:18" x14ac:dyDescent="0.3">
      <c r="A16">
        <v>0.25999999999999995</v>
      </c>
      <c r="B16">
        <v>41.343486870365297</v>
      </c>
      <c r="C16">
        <v>39.682904750114581</v>
      </c>
      <c r="D16">
        <v>40.322208761940118</v>
      </c>
      <c r="E16">
        <v>40.322208761940118</v>
      </c>
      <c r="I16">
        <v>42.247937709974082</v>
      </c>
      <c r="J16">
        <v>42.456078284975753</v>
      </c>
      <c r="K16">
        <v>38.987607009219595</v>
      </c>
      <c r="L16">
        <v>42.453321005179383</v>
      </c>
      <c r="M16">
        <v>40.288146767446769</v>
      </c>
      <c r="N16">
        <v>40.543068251599266</v>
      </c>
      <c r="O16">
        <v>40.200984943687459</v>
      </c>
      <c r="P16">
        <v>38.671186652194372</v>
      </c>
      <c r="Q16">
        <v>41.942429671868823</v>
      </c>
      <c r="R16">
        <v>41.910977229524725</v>
      </c>
    </row>
    <row r="17" spans="1:18" x14ac:dyDescent="0.3">
      <c r="A17">
        <v>0.27999999999999997</v>
      </c>
      <c r="B17">
        <v>41.068696900520848</v>
      </c>
      <c r="C17">
        <v>40.019867173592424</v>
      </c>
      <c r="D17">
        <v>40.203287418329744</v>
      </c>
      <c r="E17">
        <v>40.203287418329744</v>
      </c>
      <c r="I17">
        <v>42.117095748983182</v>
      </c>
      <c r="J17">
        <v>42.481967915885413</v>
      </c>
      <c r="K17">
        <v>39.163056313321476</v>
      </c>
      <c r="L17">
        <v>42.419978201962707</v>
      </c>
      <c r="M17">
        <v>40.39977738832485</v>
      </c>
      <c r="N17">
        <v>40.347601596295021</v>
      </c>
      <c r="O17">
        <v>40.277673888728145</v>
      </c>
      <c r="P17">
        <v>38.8418418736455</v>
      </c>
      <c r="Q17">
        <v>42.045259344867333</v>
      </c>
      <c r="R17">
        <v>42.201587139809305</v>
      </c>
    </row>
    <row r="18" spans="1:18" x14ac:dyDescent="0.3">
      <c r="A18">
        <v>0.3</v>
      </c>
      <c r="B18">
        <v>41.297699288706234</v>
      </c>
      <c r="C18">
        <v>39.87910648225369</v>
      </c>
      <c r="D18">
        <v>40.27469400265884</v>
      </c>
      <c r="E18">
        <v>40.27469400265884</v>
      </c>
      <c r="I18">
        <v>42.411541614423271</v>
      </c>
      <c r="J18">
        <v>42.745802457736076</v>
      </c>
      <c r="K18">
        <v>39.508118636247104</v>
      </c>
      <c r="L18">
        <v>42.369908809255861</v>
      </c>
      <c r="M18">
        <v>40.294038352677433</v>
      </c>
      <c r="N18">
        <v>40.262256619744598</v>
      </c>
      <c r="O18">
        <v>39.726926598681054</v>
      </c>
      <c r="P18">
        <v>38.585595291302575</v>
      </c>
      <c r="Q18">
        <v>41.886516244126732</v>
      </c>
      <c r="R18">
        <v>42.627104152663179</v>
      </c>
    </row>
    <row r="19" spans="1:18" x14ac:dyDescent="0.3">
      <c r="A19">
        <v>0.32</v>
      </c>
      <c r="B19">
        <v>42.455600152322283</v>
      </c>
      <c r="C19">
        <v>38.859419143389935</v>
      </c>
      <c r="D19">
        <v>40.695430384465894</v>
      </c>
      <c r="E19">
        <v>40.695430384465894</v>
      </c>
      <c r="I19">
        <v>42.44652891797206</v>
      </c>
      <c r="J19">
        <v>42.721651456649944</v>
      </c>
      <c r="K19">
        <v>39.879595284146689</v>
      </c>
      <c r="L19">
        <v>42.386232042288135</v>
      </c>
      <c r="M19">
        <v>40.360707502654748</v>
      </c>
      <c r="N19">
        <v>39.744426158321929</v>
      </c>
      <c r="O19">
        <v>39.706827957668175</v>
      </c>
      <c r="P19">
        <v>38.783938684196976</v>
      </c>
      <c r="Q19">
        <v>41.9913061715637</v>
      </c>
      <c r="R19">
        <v>42.539831895044429</v>
      </c>
    </row>
    <row r="20" spans="1:18" x14ac:dyDescent="0.3">
      <c r="A20">
        <v>0.34</v>
      </c>
      <c r="B20">
        <v>42.729013607539486</v>
      </c>
      <c r="C20">
        <v>38.696034994863368</v>
      </c>
      <c r="D20">
        <v>40.778919577015195</v>
      </c>
      <c r="E20">
        <v>40.778919577015195</v>
      </c>
      <c r="I20">
        <v>42.557434786615666</v>
      </c>
      <c r="J20">
        <v>42.36475538968574</v>
      </c>
      <c r="K20">
        <v>39.959367773144656</v>
      </c>
      <c r="L20">
        <v>42.483117722075995</v>
      </c>
      <c r="M20">
        <v>40.612104768035287</v>
      </c>
      <c r="N20">
        <v>40.082992674147576</v>
      </c>
      <c r="O20">
        <v>39.947116167032497</v>
      </c>
      <c r="P20">
        <v>39.157499843747338</v>
      </c>
      <c r="Q20">
        <v>42.421500247105257</v>
      </c>
      <c r="R20">
        <v>42.291245969090774</v>
      </c>
    </row>
    <row r="21" spans="1:18" x14ac:dyDescent="0.3">
      <c r="A21">
        <v>0.36000000000000004</v>
      </c>
      <c r="B21">
        <v>42.320176663362652</v>
      </c>
      <c r="C21">
        <v>39.123898556351257</v>
      </c>
      <c r="D21">
        <v>40.617246801789967</v>
      </c>
      <c r="E21">
        <v>40.617246801789967</v>
      </c>
      <c r="I21">
        <v>42.479535725467109</v>
      </c>
      <c r="J21">
        <v>42.437320434285382</v>
      </c>
      <c r="K21">
        <v>39.991386033735964</v>
      </c>
      <c r="L21">
        <v>42.392343664004287</v>
      </c>
      <c r="M21">
        <v>40.518650747814398</v>
      </c>
      <c r="N21">
        <v>40.008757530184639</v>
      </c>
      <c r="O21">
        <v>40.274831510410365</v>
      </c>
      <c r="P21">
        <v>39.33211469329877</v>
      </c>
      <c r="Q21">
        <v>42.539182356993464</v>
      </c>
      <c r="R21">
        <v>42.123311469967618</v>
      </c>
    </row>
    <row r="22" spans="1:18" x14ac:dyDescent="0.3">
      <c r="A22">
        <v>0.38000000000000006</v>
      </c>
      <c r="B22">
        <v>41.900124629561383</v>
      </c>
      <c r="C22">
        <v>39.574014771085658</v>
      </c>
      <c r="D22">
        <v>40.449300472465694</v>
      </c>
      <c r="E22">
        <v>40.449300472465694</v>
      </c>
      <c r="I22">
        <v>42.423161693030544</v>
      </c>
      <c r="J22">
        <v>43.00716392364685</v>
      </c>
      <c r="K22">
        <v>39.440125751774204</v>
      </c>
      <c r="L22">
        <v>42.355287333712944</v>
      </c>
      <c r="M22">
        <v>40.036948327391684</v>
      </c>
      <c r="N22">
        <v>40.795065350578753</v>
      </c>
      <c r="O22">
        <v>40.302729179729745</v>
      </c>
      <c r="P22">
        <v>39.343187161571933</v>
      </c>
      <c r="Q22">
        <v>43.113580297172767</v>
      </c>
      <c r="R22">
        <v>42.44103553079654</v>
      </c>
    </row>
    <row r="23" spans="1:18" x14ac:dyDescent="0.3">
      <c r="A23">
        <v>0.40000000000000008</v>
      </c>
      <c r="B23">
        <v>41.917024312883235</v>
      </c>
      <c r="C23">
        <v>39.636536523185121</v>
      </c>
      <c r="D23">
        <v>40.440082727186429</v>
      </c>
      <c r="E23">
        <v>40.440082727186429</v>
      </c>
      <c r="I23">
        <v>42.634181905965974</v>
      </c>
      <c r="J23">
        <v>43.296340432760928</v>
      </c>
      <c r="K23">
        <v>39.219674846707477</v>
      </c>
      <c r="L23">
        <v>42.417053204514374</v>
      </c>
      <c r="M23">
        <v>40.496393526424114</v>
      </c>
      <c r="N23">
        <v>41.306129170368692</v>
      </c>
      <c r="O23">
        <v>40.033665560936448</v>
      </c>
      <c r="P23">
        <v>38.917995772902977</v>
      </c>
      <c r="Q23">
        <v>43.259037642903508</v>
      </c>
      <c r="R23">
        <v>42.506673099962484</v>
      </c>
    </row>
    <row r="24" spans="1:18" x14ac:dyDescent="0.3">
      <c r="A24">
        <v>0.4200000000000001</v>
      </c>
      <c r="B24">
        <v>41.998183710378044</v>
      </c>
      <c r="C24">
        <v>39.640089186818393</v>
      </c>
      <c r="D24">
        <v>40.454542770593712</v>
      </c>
      <c r="E24">
        <v>40.454542770593712</v>
      </c>
      <c r="I24">
        <v>43.139010041344186</v>
      </c>
      <c r="J24">
        <v>43.966471439403527</v>
      </c>
      <c r="K24">
        <v>39.689648619420517</v>
      </c>
      <c r="L24">
        <v>42.518393527225477</v>
      </c>
      <c r="M24">
        <v>40.433535575533455</v>
      </c>
      <c r="N24">
        <v>41.129021628051191</v>
      </c>
      <c r="O24">
        <v>40.446047541697915</v>
      </c>
      <c r="P24">
        <v>39.083898783788975</v>
      </c>
      <c r="Q24">
        <v>42.975595259615716</v>
      </c>
      <c r="R24">
        <v>43.210819174159745</v>
      </c>
    </row>
    <row r="25" spans="1:18" x14ac:dyDescent="0.3">
      <c r="A25">
        <v>0.44000000000000011</v>
      </c>
      <c r="B25">
        <v>42.019054417377824</v>
      </c>
      <c r="C25">
        <v>39.699102584881821</v>
      </c>
      <c r="D25">
        <v>40.446780266034779</v>
      </c>
      <c r="E25">
        <v>40.446780266034779</v>
      </c>
      <c r="I25">
        <v>42.973767240513489</v>
      </c>
      <c r="J25">
        <v>44.4315591099583</v>
      </c>
      <c r="K25">
        <v>39.031616615535206</v>
      </c>
      <c r="L25">
        <v>42.340378855139441</v>
      </c>
      <c r="M25">
        <v>40.73143016135036</v>
      </c>
      <c r="N25">
        <v>40.859521922235757</v>
      </c>
      <c r="O25">
        <v>39.973319265072007</v>
      </c>
      <c r="P25">
        <v>39.029311777431218</v>
      </c>
      <c r="Q25">
        <v>43.086216374118301</v>
      </c>
      <c r="R25">
        <v>43.731549866889573</v>
      </c>
    </row>
    <row r="26" spans="1:18" x14ac:dyDescent="0.3">
      <c r="A26">
        <v>0.46000000000000013</v>
      </c>
      <c r="B26">
        <v>41.447457737249422</v>
      </c>
      <c r="C26">
        <v>40.302307122461151</v>
      </c>
      <c r="D26">
        <v>40.221497964172116</v>
      </c>
      <c r="E26">
        <v>40.221497964172116</v>
      </c>
      <c r="I26">
        <v>42.815521422468819</v>
      </c>
      <c r="J26">
        <v>44.080306724117193</v>
      </c>
      <c r="K26">
        <v>38.643402410978766</v>
      </c>
      <c r="L26">
        <v>42.241156808341302</v>
      </c>
      <c r="M26">
        <v>40.928526030832302</v>
      </c>
      <c r="N26">
        <v>40.472691894298087</v>
      </c>
      <c r="O26">
        <v>39.692781682270542</v>
      </c>
      <c r="P26">
        <v>39.548938458218842</v>
      </c>
      <c r="Q26">
        <v>42.176977743572671</v>
      </c>
      <c r="R26">
        <v>43.900280574237385</v>
      </c>
    </row>
    <row r="27" spans="1:18" x14ac:dyDescent="0.3">
      <c r="A27">
        <v>0.48000000000000015</v>
      </c>
      <c r="B27">
        <v>41.352758027985452</v>
      </c>
      <c r="C27">
        <v>40.473153342199659</v>
      </c>
      <c r="D27">
        <v>40.170475460836748</v>
      </c>
      <c r="E27">
        <v>40.170475460836748</v>
      </c>
      <c r="I27">
        <v>42.96914114132116</v>
      </c>
      <c r="J27">
        <v>44.279717747858982</v>
      </c>
      <c r="K27">
        <v>38.485217220574377</v>
      </c>
      <c r="L27">
        <v>42.253926200266797</v>
      </c>
      <c r="M27">
        <v>41.126486799903326</v>
      </c>
      <c r="N27">
        <v>40.369114209012722</v>
      </c>
      <c r="O27">
        <v>40.195613321355552</v>
      </c>
      <c r="P27">
        <v>39.422833128611174</v>
      </c>
      <c r="Q27">
        <v>42.36452235580785</v>
      </c>
      <c r="R27">
        <v>43.662596068061077</v>
      </c>
    </row>
    <row r="28" spans="1:18" x14ac:dyDescent="0.3">
      <c r="A28">
        <v>0.50000000000000011</v>
      </c>
      <c r="B28">
        <v>41.255345145414701</v>
      </c>
      <c r="C28">
        <v>40.647988287798036</v>
      </c>
      <c r="D28">
        <v>40.118292919643409</v>
      </c>
      <c r="E28">
        <v>40.118292919643409</v>
      </c>
      <c r="I28">
        <v>42.546713940068216</v>
      </c>
      <c r="J28">
        <v>44.701344648113107</v>
      </c>
      <c r="K28">
        <v>38.294165822938318</v>
      </c>
      <c r="L28">
        <v>41.913430903318677</v>
      </c>
      <c r="M28">
        <v>40.780464753784386</v>
      </c>
      <c r="N28">
        <v>40.350662069462736</v>
      </c>
      <c r="O28">
        <v>39.887121508440934</v>
      </c>
      <c r="P28">
        <v>39.540612862656246</v>
      </c>
      <c r="Q28">
        <v>42.984406076869853</v>
      </c>
      <c r="R28">
        <v>44.11850119692852</v>
      </c>
    </row>
    <row r="29" spans="1:18" x14ac:dyDescent="0.3">
      <c r="A29">
        <v>0.52000000000000013</v>
      </c>
      <c r="B29">
        <v>41.11913085185607</v>
      </c>
      <c r="C29">
        <v>40.862201340211485</v>
      </c>
      <c r="D29">
        <v>40.051319306695738</v>
      </c>
      <c r="E29">
        <v>40.051319306695738</v>
      </c>
      <c r="I29">
        <v>43.151941408174785</v>
      </c>
      <c r="J29">
        <v>44.542505579149996</v>
      </c>
      <c r="K29">
        <v>38.451238513057675</v>
      </c>
      <c r="L29">
        <v>42.964453636442109</v>
      </c>
      <c r="M29">
        <v>40.445480735740574</v>
      </c>
      <c r="N29">
        <v>40.262586265720181</v>
      </c>
      <c r="O29">
        <v>39.959833361533406</v>
      </c>
      <c r="P29">
        <v>40.097120774855703</v>
      </c>
      <c r="Q29">
        <v>42.409419762600386</v>
      </c>
      <c r="R29">
        <v>44.510672160192591</v>
      </c>
    </row>
    <row r="30" spans="1:18" x14ac:dyDescent="0.3">
      <c r="A30">
        <v>0.54000000000000015</v>
      </c>
      <c r="B30">
        <v>41.038097236975787</v>
      </c>
      <c r="C30">
        <v>41.024073185494444</v>
      </c>
      <c r="D30">
        <v>40.004991968912655</v>
      </c>
      <c r="E30">
        <v>40.004991968912655</v>
      </c>
      <c r="I30">
        <v>43.324006346711435</v>
      </c>
      <c r="J30">
        <v>44.649437159668288</v>
      </c>
      <c r="K30">
        <v>38.386422771706691</v>
      </c>
      <c r="L30">
        <v>43.459492229778689</v>
      </c>
      <c r="M30">
        <v>40.504102358774041</v>
      </c>
      <c r="N30">
        <v>40.659064899002793</v>
      </c>
      <c r="O30">
        <v>39.700881671321376</v>
      </c>
      <c r="P30">
        <v>40.308920844922987</v>
      </c>
      <c r="Q30">
        <v>42.318112001722284</v>
      </c>
      <c r="R30">
        <v>45.425460790707916</v>
      </c>
    </row>
    <row r="31" spans="1:18" x14ac:dyDescent="0.3">
      <c r="A31">
        <v>0.56000000000000016</v>
      </c>
      <c r="B31">
        <v>40.806795096875923</v>
      </c>
      <c r="C31">
        <v>41.337297906679623</v>
      </c>
      <c r="D31">
        <v>39.901398831244478</v>
      </c>
      <c r="E31">
        <v>39.901398831244478</v>
      </c>
      <c r="I31">
        <v>43.10592905028836</v>
      </c>
      <c r="J31">
        <v>44.77148940377424</v>
      </c>
      <c r="K31">
        <v>38.006812490833077</v>
      </c>
      <c r="L31">
        <v>43.805020766769907</v>
      </c>
      <c r="M31">
        <v>41.020108316131797</v>
      </c>
      <c r="N31">
        <v>40.770448844395865</v>
      </c>
      <c r="O31">
        <v>39.709814910775037</v>
      </c>
      <c r="P31">
        <v>39.626175943804824</v>
      </c>
      <c r="Q31">
        <v>41.937775408128665</v>
      </c>
      <c r="R31">
        <v>45.103854338285345</v>
      </c>
    </row>
    <row r="32" spans="1:18" x14ac:dyDescent="0.3">
      <c r="A32">
        <v>0.58000000000000018</v>
      </c>
      <c r="B32">
        <v>40.892519148180988</v>
      </c>
      <c r="C32">
        <v>41.332839197336746</v>
      </c>
      <c r="D32">
        <v>39.918629990184613</v>
      </c>
      <c r="E32">
        <v>39.918629990184613</v>
      </c>
      <c r="I32">
        <v>42.932390347859993</v>
      </c>
      <c r="J32">
        <v>44.89388164363374</v>
      </c>
      <c r="K32">
        <v>37.776485653995309</v>
      </c>
      <c r="L32">
        <v>44.30049904735462</v>
      </c>
      <c r="M32">
        <v>40.677623604670266</v>
      </c>
      <c r="N32">
        <v>41.269330867863104</v>
      </c>
      <c r="O32">
        <v>40.638580947855907</v>
      </c>
      <c r="P32">
        <v>39.948530906382182</v>
      </c>
      <c r="Q32">
        <v>41.782643510150116</v>
      </c>
      <c r="R32">
        <v>44.526069922472963</v>
      </c>
    </row>
    <row r="33" spans="1:18" x14ac:dyDescent="0.3">
      <c r="A33">
        <v>0.6000000000000002</v>
      </c>
      <c r="B33">
        <v>41.188789067188665</v>
      </c>
      <c r="C33">
        <v>41.114658796450605</v>
      </c>
      <c r="D33">
        <v>40.01628997721847</v>
      </c>
      <c r="E33">
        <v>40.01628997721847</v>
      </c>
      <c r="I33">
        <v>42.791383304520984</v>
      </c>
      <c r="J33">
        <v>45.376849253769556</v>
      </c>
      <c r="K33">
        <v>37.7050514762091</v>
      </c>
      <c r="L33">
        <v>44.415787230901266</v>
      </c>
      <c r="M33">
        <v>40.722844361980655</v>
      </c>
      <c r="N33">
        <v>41.668976171674842</v>
      </c>
      <c r="O33">
        <v>40.932821503036379</v>
      </c>
      <c r="P33">
        <v>40.162021193462458</v>
      </c>
      <c r="Q33">
        <v>42.130762369675466</v>
      </c>
      <c r="R33">
        <v>44.652107926657607</v>
      </c>
    </row>
    <row r="34" spans="1:18" x14ac:dyDescent="0.3">
      <c r="A34">
        <v>0.62000000000000022</v>
      </c>
      <c r="B34">
        <v>40.925231592023756</v>
      </c>
      <c r="C34">
        <v>41.459697380830882</v>
      </c>
      <c r="D34">
        <v>39.901005760181064</v>
      </c>
      <c r="E34">
        <v>39.901005760181064</v>
      </c>
      <c r="I34">
        <v>42.384590172832205</v>
      </c>
      <c r="J34">
        <v>46.099753802299489</v>
      </c>
      <c r="K34">
        <v>38.009040765066807</v>
      </c>
      <c r="L34">
        <v>43.559512033117983</v>
      </c>
      <c r="M34">
        <v>40.776997247876913</v>
      </c>
      <c r="N34">
        <v>42.087190748144707</v>
      </c>
      <c r="O34">
        <v>41.007461958410083</v>
      </c>
      <c r="P34">
        <v>40.015214752826971</v>
      </c>
      <c r="Q34">
        <v>42.515629048611316</v>
      </c>
      <c r="R34">
        <v>44.600592614332704</v>
      </c>
    </row>
    <row r="35" spans="1:18" x14ac:dyDescent="0.3">
      <c r="A35">
        <v>0.64000000000000024</v>
      </c>
      <c r="B35">
        <v>40.820302728344011</v>
      </c>
      <c r="C35">
        <v>41.649877668596936</v>
      </c>
      <c r="D35">
        <v>39.845295920443952</v>
      </c>
      <c r="E35">
        <v>39.845295920443952</v>
      </c>
      <c r="I35">
        <v>42.325077120211716</v>
      </c>
      <c r="J35">
        <v>45.511096208790605</v>
      </c>
      <c r="K35">
        <v>38.347425735090894</v>
      </c>
      <c r="L35">
        <v>43.289919049889548</v>
      </c>
      <c r="M35">
        <v>40.995020689210975</v>
      </c>
      <c r="N35">
        <v>42.235235316469442</v>
      </c>
      <c r="O35">
        <v>40.165331420637791</v>
      </c>
      <c r="P35">
        <v>39.907601064880737</v>
      </c>
      <c r="Q35">
        <v>42.492188853405402</v>
      </c>
      <c r="R35">
        <v>44.129311490120266</v>
      </c>
    </row>
    <row r="36" spans="1:18" x14ac:dyDescent="0.3">
      <c r="A36">
        <v>0.66000000000000025</v>
      </c>
      <c r="B36">
        <v>40.76840565000068</v>
      </c>
      <c r="C36">
        <v>41.787085627204753</v>
      </c>
      <c r="D36">
        <v>39.809745329508644</v>
      </c>
      <c r="E36">
        <v>39.809745329508644</v>
      </c>
      <c r="I36">
        <v>42.045067670677838</v>
      </c>
      <c r="J36">
        <v>45.357649539559425</v>
      </c>
      <c r="K36">
        <v>38.143961559174947</v>
      </c>
      <c r="L36">
        <v>42.792618287997044</v>
      </c>
      <c r="M36">
        <v>41.352057508294287</v>
      </c>
      <c r="N36">
        <v>41.926142907980477</v>
      </c>
      <c r="O36">
        <v>39.861131777358004</v>
      </c>
      <c r="P36">
        <v>39.497616741078744</v>
      </c>
      <c r="Q36">
        <v>42.283883019982426</v>
      </c>
      <c r="R36">
        <v>44.119122967523985</v>
      </c>
    </row>
    <row r="37" spans="1:18" x14ac:dyDescent="0.3">
      <c r="A37">
        <v>0.68000000000000027</v>
      </c>
      <c r="B37">
        <v>41.630372027556</v>
      </c>
      <c r="C37">
        <v>40.976704360817642</v>
      </c>
      <c r="D37">
        <v>40.125218388321045</v>
      </c>
      <c r="E37">
        <v>40.125218388321045</v>
      </c>
      <c r="I37">
        <v>42.042718629299685</v>
      </c>
      <c r="J37">
        <v>45.191711762208278</v>
      </c>
      <c r="K37">
        <v>38.354913765177422</v>
      </c>
      <c r="L37">
        <v>43.622819885819133</v>
      </c>
      <c r="M37">
        <v>41.364999019322916</v>
      </c>
      <c r="N37">
        <v>42.10500316617987</v>
      </c>
      <c r="O37">
        <v>39.082996275023305</v>
      </c>
      <c r="P37">
        <v>39.319625888172524</v>
      </c>
      <c r="Q37">
        <v>42.723633882314317</v>
      </c>
      <c r="R37">
        <v>45.250728299466118</v>
      </c>
    </row>
    <row r="38" spans="1:18" x14ac:dyDescent="0.3">
      <c r="A38">
        <v>0.70000000000000029</v>
      </c>
      <c r="B38">
        <v>41.448678578212359</v>
      </c>
      <c r="C38">
        <v>41.235765742129416</v>
      </c>
      <c r="D38">
        <v>40.042076551941058</v>
      </c>
      <c r="E38">
        <v>40.042076551941058</v>
      </c>
      <c r="I38">
        <v>40.945661159396174</v>
      </c>
      <c r="J38">
        <v>45.461661507824246</v>
      </c>
      <c r="K38">
        <v>38.326236755611006</v>
      </c>
      <c r="L38">
        <v>43.466259930095312</v>
      </c>
      <c r="M38">
        <v>41.682024943357334</v>
      </c>
      <c r="N38">
        <v>41.701980046324401</v>
      </c>
      <c r="O38">
        <v>39.06194794238489</v>
      </c>
      <c r="P38">
        <v>39.188566385393457</v>
      </c>
      <c r="Q38">
        <v>42.997019668013813</v>
      </c>
      <c r="R38">
        <v>46.128622769482121</v>
      </c>
    </row>
    <row r="39" spans="1:18" x14ac:dyDescent="0.3">
      <c r="A39">
        <v>0.72000000000000031</v>
      </c>
      <c r="B39">
        <v>40.923523374624352</v>
      </c>
      <c r="C39">
        <v>41.839245220223297</v>
      </c>
      <c r="D39">
        <v>39.829745499823588</v>
      </c>
      <c r="E39">
        <v>39.829745499823588</v>
      </c>
      <c r="I39">
        <v>41.821951374412365</v>
      </c>
      <c r="J39">
        <v>45.727553149878354</v>
      </c>
      <c r="K39">
        <v>37.932328898244265</v>
      </c>
      <c r="L39">
        <v>43.403869804644884</v>
      </c>
      <c r="M39">
        <v>41.713847931453195</v>
      </c>
      <c r="N39">
        <v>41.946228332436519</v>
      </c>
      <c r="O39">
        <v>39.198315774171846</v>
      </c>
      <c r="P39">
        <v>40.022061655076627</v>
      </c>
      <c r="Q39">
        <v>43.315139006944015</v>
      </c>
      <c r="R39">
        <v>46.227019766936607</v>
      </c>
    </row>
    <row r="40" spans="1:18" x14ac:dyDescent="0.3">
      <c r="A40">
        <v>0.74000000000000032</v>
      </c>
      <c r="B40">
        <v>41.389229128555741</v>
      </c>
      <c r="C40">
        <v>41.441965114228829</v>
      </c>
      <c r="D40">
        <v>39.992003759741785</v>
      </c>
      <c r="E40">
        <v>39.992003759741785</v>
      </c>
      <c r="I40">
        <v>42.14572711990894</v>
      </c>
      <c r="J40">
        <v>45.13268281105335</v>
      </c>
      <c r="K40">
        <v>38.05227334770867</v>
      </c>
      <c r="L40">
        <v>43.381602131726552</v>
      </c>
      <c r="M40">
        <v>42.041071420272331</v>
      </c>
      <c r="N40">
        <v>42.228839084695174</v>
      </c>
      <c r="O40">
        <v>39.297042429632398</v>
      </c>
      <c r="P40">
        <v>40.310325648920717</v>
      </c>
      <c r="Q40">
        <v>42.904318132364025</v>
      </c>
      <c r="R40">
        <v>46.884003701043362</v>
      </c>
    </row>
    <row r="41" spans="1:18" x14ac:dyDescent="0.3">
      <c r="A41">
        <v>0.76000000000000034</v>
      </c>
      <c r="B41">
        <v>41.47387674743311</v>
      </c>
      <c r="C41">
        <v>41.440065986906163</v>
      </c>
      <c r="D41">
        <v>40.00824949391145</v>
      </c>
      <c r="E41">
        <v>40.00824949391145</v>
      </c>
      <c r="I41">
        <v>42.614956479619217</v>
      </c>
      <c r="J41">
        <v>45.434334687318533</v>
      </c>
      <c r="K41">
        <v>38.198245316231585</v>
      </c>
      <c r="L41">
        <v>43.669414027576138</v>
      </c>
      <c r="M41">
        <v>41.809628155110467</v>
      </c>
      <c r="N41">
        <v>42.198537506338262</v>
      </c>
      <c r="O41">
        <v>39.02735031554468</v>
      </c>
      <c r="P41">
        <v>40.945603006748719</v>
      </c>
      <c r="Q41">
        <v>42.916295555598694</v>
      </c>
      <c r="R41">
        <v>47.758004699861402</v>
      </c>
    </row>
    <row r="42" spans="1:18" x14ac:dyDescent="0.3">
      <c r="A42">
        <v>0.78000000000000036</v>
      </c>
      <c r="B42">
        <v>41.760868056562266</v>
      </c>
      <c r="C42">
        <v>41.23628878918494</v>
      </c>
      <c r="D42">
        <v>40.100171688548251</v>
      </c>
      <c r="E42">
        <v>40.100171688548251</v>
      </c>
      <c r="I42">
        <v>43.035014896581238</v>
      </c>
      <c r="J42">
        <v>45.453087018498593</v>
      </c>
      <c r="K42">
        <v>38.298788230127641</v>
      </c>
      <c r="L42">
        <v>43.9065534488564</v>
      </c>
      <c r="M42">
        <v>41.880188330559093</v>
      </c>
      <c r="N42">
        <v>41.89142489437441</v>
      </c>
      <c r="O42">
        <v>38.93919803006434</v>
      </c>
      <c r="P42">
        <v>40.544285480123825</v>
      </c>
      <c r="Q42">
        <v>43.161249355998102</v>
      </c>
      <c r="R42">
        <v>46.281630036363104</v>
      </c>
    </row>
    <row r="43" spans="1:18" x14ac:dyDescent="0.3">
      <c r="A43">
        <v>0.80000000000000038</v>
      </c>
      <c r="B43">
        <v>42.119929427864101</v>
      </c>
      <c r="C43">
        <v>40.966184416818564</v>
      </c>
      <c r="D43">
        <v>40.217747093893266</v>
      </c>
      <c r="E43">
        <v>40.217747093893266</v>
      </c>
      <c r="I43">
        <v>43.488578966600329</v>
      </c>
      <c r="J43">
        <v>45.32005150053714</v>
      </c>
      <c r="K43">
        <v>38.221919551246025</v>
      </c>
      <c r="L43">
        <v>43.198886751749242</v>
      </c>
      <c r="M43">
        <v>42.09816851161014</v>
      </c>
      <c r="N43">
        <v>41.759202893364822</v>
      </c>
      <c r="O43">
        <v>39.196702181705668</v>
      </c>
      <c r="P43">
        <v>40.637365971051551</v>
      </c>
      <c r="Q43">
        <v>43.387130865304272</v>
      </c>
      <c r="R43">
        <v>45.881902957921547</v>
      </c>
    </row>
    <row r="44" spans="1:18" x14ac:dyDescent="0.3">
      <c r="A44">
        <v>0.8200000000000004</v>
      </c>
      <c r="B44">
        <v>41.663337520860551</v>
      </c>
      <c r="C44">
        <v>41.485512407625471</v>
      </c>
      <c r="D44">
        <v>40.035307866827175</v>
      </c>
      <c r="E44">
        <v>40.035307866827175</v>
      </c>
      <c r="I44">
        <v>43.309043795024905</v>
      </c>
      <c r="J44">
        <v>45.410856328036331</v>
      </c>
      <c r="K44">
        <v>38.348269583509499</v>
      </c>
      <c r="L44">
        <v>43.130331491208651</v>
      </c>
      <c r="M44">
        <v>42.604377535486421</v>
      </c>
      <c r="N44">
        <v>41.587877420097918</v>
      </c>
      <c r="O44">
        <v>39.333802952353246</v>
      </c>
      <c r="P44">
        <v>40.728440749898809</v>
      </c>
      <c r="Q44">
        <v>43.661972097701245</v>
      </c>
      <c r="R44">
        <v>45.979095860854862</v>
      </c>
    </row>
    <row r="45" spans="1:18" x14ac:dyDescent="0.3">
      <c r="A45">
        <v>0.84000000000000041</v>
      </c>
      <c r="B45">
        <v>41.686404818905707</v>
      </c>
      <c r="C45">
        <v>41.545475030781972</v>
      </c>
      <c r="D45">
        <v>40.02839291157683</v>
      </c>
      <c r="E45">
        <v>40.02839291157683</v>
      </c>
      <c r="I45">
        <v>43.347801008933487</v>
      </c>
      <c r="J45">
        <v>44.840778132053302</v>
      </c>
      <c r="K45">
        <v>38.791167950791277</v>
      </c>
      <c r="L45">
        <v>43.655095091498737</v>
      </c>
      <c r="M45">
        <v>42.179555054301836</v>
      </c>
      <c r="N45">
        <v>41.356736626787708</v>
      </c>
      <c r="O45">
        <v>39.09151273496871</v>
      </c>
      <c r="P45">
        <v>40.963729282374459</v>
      </c>
      <c r="Q45">
        <v>43.523881578254624</v>
      </c>
      <c r="R45">
        <v>45.8567649068492</v>
      </c>
    </row>
    <row r="46" spans="1:18" x14ac:dyDescent="0.3">
      <c r="A46">
        <v>0.86000000000000043</v>
      </c>
      <c r="B46">
        <v>41.986733658704182</v>
      </c>
      <c r="C46">
        <v>41.329688555602623</v>
      </c>
      <c r="D46">
        <v>40.124489532736781</v>
      </c>
      <c r="E46">
        <v>40.124489532736781</v>
      </c>
      <c r="I46">
        <v>43.517110014429562</v>
      </c>
      <c r="J46">
        <v>44.987077703767312</v>
      </c>
      <c r="K46">
        <v>38.24167463726932</v>
      </c>
      <c r="L46">
        <v>43.460528700121039</v>
      </c>
      <c r="M46">
        <v>42.131815918462436</v>
      </c>
      <c r="N46">
        <v>41.572524808712089</v>
      </c>
      <c r="O46">
        <v>39.423439930462919</v>
      </c>
      <c r="P46">
        <v>41.047896480132728</v>
      </c>
      <c r="Q46">
        <v>43.834854747653132</v>
      </c>
      <c r="R46">
        <v>46.252666814399845</v>
      </c>
    </row>
    <row r="47" spans="1:18" x14ac:dyDescent="0.3">
      <c r="A47">
        <v>0.88000000000000045</v>
      </c>
      <c r="B47">
        <v>41.565860039964264</v>
      </c>
      <c r="C47">
        <v>41.823056348824281</v>
      </c>
      <c r="D47">
        <v>39.95435916278565</v>
      </c>
      <c r="E47">
        <v>39.95435916278565</v>
      </c>
      <c r="I47">
        <v>43.337853426827571</v>
      </c>
      <c r="J47">
        <v>44.253031613845373</v>
      </c>
      <c r="K47">
        <v>38.138805991160183</v>
      </c>
      <c r="L47">
        <v>43.245477957123931</v>
      </c>
      <c r="M47">
        <v>43.190020379085439</v>
      </c>
      <c r="N47">
        <v>41.411160939380082</v>
      </c>
      <c r="O47">
        <v>39.397585976337439</v>
      </c>
      <c r="P47">
        <v>40.890379198008532</v>
      </c>
      <c r="Q47">
        <v>43.278206091278143</v>
      </c>
      <c r="R47">
        <v>46.200671373743269</v>
      </c>
    </row>
    <row r="48" spans="1:18" x14ac:dyDescent="0.3">
      <c r="A48">
        <v>0.90000000000000047</v>
      </c>
      <c r="B48">
        <v>41.60713378176554</v>
      </c>
      <c r="C48">
        <v>41.865174238903634</v>
      </c>
      <c r="D48">
        <v>39.954250156004143</v>
      </c>
      <c r="E48">
        <v>39.954250156004143</v>
      </c>
      <c r="I48">
        <v>43.917376888476767</v>
      </c>
      <c r="J48">
        <v>44.594841175869981</v>
      </c>
      <c r="K48">
        <v>38.321429975312491</v>
      </c>
      <c r="L48">
        <v>43.510677930777092</v>
      </c>
      <c r="M48">
        <v>43.472837168449587</v>
      </c>
      <c r="N48">
        <v>41.336918879756936</v>
      </c>
      <c r="O48">
        <v>39.916997776593405</v>
      </c>
      <c r="P48">
        <v>40.99208521583023</v>
      </c>
      <c r="Q48">
        <v>42.913983383134514</v>
      </c>
      <c r="R48">
        <v>46.717801471162261</v>
      </c>
    </row>
    <row r="49" spans="1:18" x14ac:dyDescent="0.3">
      <c r="A49">
        <v>0.92000000000000048</v>
      </c>
      <c r="B49">
        <v>41.408640140440419</v>
      </c>
      <c r="C49">
        <v>42.149377244811618</v>
      </c>
      <c r="D49">
        <v>39.864787484427744</v>
      </c>
      <c r="E49">
        <v>39.864787484427744</v>
      </c>
      <c r="I49">
        <v>43.682597240677737</v>
      </c>
      <c r="J49">
        <v>44.10981409655426</v>
      </c>
      <c r="K49">
        <v>38.257128367846754</v>
      </c>
      <c r="L49">
        <v>44.075732910129403</v>
      </c>
      <c r="M49">
        <v>43.420545841731332</v>
      </c>
      <c r="N49">
        <v>41.961413936120728</v>
      </c>
      <c r="O49">
        <v>40.150311487584695</v>
      </c>
      <c r="P49">
        <v>41.155895135052823</v>
      </c>
      <c r="Q49">
        <v>43.050074214691399</v>
      </c>
      <c r="R49">
        <v>47.285212208246001</v>
      </c>
    </row>
    <row r="50" spans="1:18" x14ac:dyDescent="0.3">
      <c r="A50">
        <v>0.9400000000000005</v>
      </c>
      <c r="B50">
        <v>42.050323478439267</v>
      </c>
      <c r="C50">
        <v>41.575073113740977</v>
      </c>
      <c r="D50">
        <v>40.090062788757223</v>
      </c>
      <c r="E50">
        <v>40.090062788757223</v>
      </c>
      <c r="I50">
        <v>43.974777297385522</v>
      </c>
      <c r="J50">
        <v>44.362274419639135</v>
      </c>
      <c r="K50">
        <v>38.094700682834777</v>
      </c>
      <c r="L50">
        <v>43.448050818754801</v>
      </c>
      <c r="M50">
        <v>43.69748766873667</v>
      </c>
      <c r="N50">
        <v>42.284805300130046</v>
      </c>
      <c r="O50">
        <v>39.864116927031112</v>
      </c>
      <c r="P50">
        <v>41.618573714057071</v>
      </c>
      <c r="Q50">
        <v>43.35843184917762</v>
      </c>
      <c r="R50">
        <v>46.729455942835578</v>
      </c>
    </row>
    <row r="51" spans="1:18" x14ac:dyDescent="0.3">
      <c r="A51">
        <v>0.96000000000000052</v>
      </c>
      <c r="B51">
        <v>42.399430611091674</v>
      </c>
      <c r="C51">
        <v>41.314782149663166</v>
      </c>
      <c r="D51">
        <v>40.202669615707549</v>
      </c>
      <c r="E51">
        <v>40.202669615707549</v>
      </c>
      <c r="I51">
        <v>44.971491675448569</v>
      </c>
      <c r="J51">
        <v>44.384478934502717</v>
      </c>
      <c r="K51">
        <v>38.23397280065587</v>
      </c>
      <c r="L51">
        <v>43.420536281436291</v>
      </c>
      <c r="M51">
        <v>45.003390417831369</v>
      </c>
      <c r="N51">
        <v>41.95747988866983</v>
      </c>
      <c r="O51">
        <v>40.19696152009648</v>
      </c>
      <c r="P51">
        <v>41.615427143144984</v>
      </c>
      <c r="Q51">
        <v>43.654457362297585</v>
      </c>
      <c r="R51">
        <v>46.442304849154993</v>
      </c>
    </row>
    <row r="52" spans="1:18" x14ac:dyDescent="0.3">
      <c r="A52">
        <v>0.98000000000000054</v>
      </c>
      <c r="B52">
        <v>42.214347408613726</v>
      </c>
      <c r="C52">
        <v>41.574906551118772</v>
      </c>
      <c r="D52">
        <v>40.120273220897836</v>
      </c>
      <c r="E52">
        <v>40.120273220897836</v>
      </c>
      <c r="I52">
        <v>45.206443972030669</v>
      </c>
      <c r="J52">
        <v>43.860611294638893</v>
      </c>
      <c r="K52">
        <v>38.166953427557225</v>
      </c>
      <c r="L52">
        <v>44.020786782493026</v>
      </c>
      <c r="M52">
        <v>45.485398787570091</v>
      </c>
      <c r="N52">
        <v>42.885956123844558</v>
      </c>
      <c r="O52">
        <v>39.929389132028412</v>
      </c>
      <c r="P52">
        <v>41.906606421265231</v>
      </c>
      <c r="Q52">
        <v>43.491226659024925</v>
      </c>
      <c r="R52">
        <v>46.361254104761585</v>
      </c>
    </row>
    <row r="53" spans="1:18" x14ac:dyDescent="0.3">
      <c r="A53">
        <v>1.0000000000000004</v>
      </c>
      <c r="B53">
        <v>42.402755459672079</v>
      </c>
      <c r="C53">
        <v>41.473596841894448</v>
      </c>
      <c r="D53">
        <v>40.173574612613358</v>
      </c>
      <c r="E53">
        <v>40.173574612613358</v>
      </c>
      <c r="I53">
        <v>45.563841824797379</v>
      </c>
      <c r="J53">
        <v>43.471067190331418</v>
      </c>
      <c r="K53">
        <v>38.419198542709175</v>
      </c>
      <c r="L53">
        <v>44.49924534594124</v>
      </c>
      <c r="M53">
        <v>45.78534099108731</v>
      </c>
      <c r="N53">
        <v>43.049100911102478</v>
      </c>
      <c r="O53">
        <v>40.288212526129577</v>
      </c>
      <c r="P53">
        <v>41.713741799492446</v>
      </c>
      <c r="Q53">
        <v>44.181181109357993</v>
      </c>
      <c r="R53">
        <v>47.052363072729875</v>
      </c>
    </row>
  </sheetData>
  <mergeCells count="3">
    <mergeCell ref="A1:E1"/>
    <mergeCell ref="F1:H1"/>
    <mergeCell ref="I1:R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634B-7EF1-42BE-96E6-71F4B7F8596C}">
  <sheetPr codeName="Sheet4"/>
  <dimension ref="A1:E18"/>
  <sheetViews>
    <sheetView workbookViewId="0">
      <selection activeCell="D6" sqref="D6"/>
    </sheetView>
  </sheetViews>
  <sheetFormatPr defaultRowHeight="14.4" x14ac:dyDescent="0.3"/>
  <sheetData>
    <row r="1" spans="1:5" x14ac:dyDescent="0.3">
      <c r="A1" s="27" t="s">
        <v>13</v>
      </c>
      <c r="B1" s="27"/>
      <c r="C1" s="27"/>
      <c r="D1" s="27"/>
      <c r="E1" s="27"/>
    </row>
    <row r="2" spans="1:5" x14ac:dyDescent="0.3">
      <c r="A2" s="1" t="s">
        <v>14</v>
      </c>
      <c r="B2" s="1" t="s">
        <v>18</v>
      </c>
      <c r="C2" s="1" t="s">
        <v>35</v>
      </c>
      <c r="D2" s="1" t="s">
        <v>19</v>
      </c>
      <c r="E2" s="1" t="s">
        <v>15</v>
      </c>
    </row>
    <row r="3" spans="1:5" x14ac:dyDescent="0.3">
      <c r="A3" t="s">
        <v>20</v>
      </c>
      <c r="B3">
        <v>5.7010540063039432</v>
      </c>
      <c r="C3">
        <v>5.7413405661810595</v>
      </c>
      <c r="D3">
        <v>5.7816271260581757</v>
      </c>
      <c r="E3">
        <v>9.0000003576278687E-2</v>
      </c>
    </row>
    <row r="4" spans="1:5" x14ac:dyDescent="0.3">
      <c r="A4" t="s">
        <v>21</v>
      </c>
      <c r="B4">
        <v>5.7146000732011002</v>
      </c>
      <c r="C4">
        <v>5.7324615199439695</v>
      </c>
      <c r="D4">
        <v>5.7503229666868387</v>
      </c>
      <c r="E4">
        <v>0.61299997568130493</v>
      </c>
    </row>
    <row r="5" spans="1:5" x14ac:dyDescent="0.3">
      <c r="A5" t="s">
        <v>22</v>
      </c>
      <c r="B5">
        <v>5.682079425129186</v>
      </c>
      <c r="C5">
        <v>5.7224442572054883</v>
      </c>
      <c r="D5">
        <v>5.7628090892817907</v>
      </c>
      <c r="E5">
        <v>0.15600000321865082</v>
      </c>
    </row>
    <row r="6" spans="1:5" x14ac:dyDescent="0.3">
      <c r="A6" t="s">
        <v>16</v>
      </c>
      <c r="B6">
        <v>5.6815746564613976</v>
      </c>
      <c r="C6">
        <v>5.7208250705814887</v>
      </c>
      <c r="D6">
        <v>5.7600754847015798</v>
      </c>
      <c r="E6">
        <v>8.2000000000000003E-2</v>
      </c>
    </row>
    <row r="7" spans="1:5" x14ac:dyDescent="0.3">
      <c r="A7" t="s">
        <v>17</v>
      </c>
      <c r="B7">
        <v>5.7113977461363774</v>
      </c>
      <c r="C7">
        <v>5.7340472431199334</v>
      </c>
      <c r="D7">
        <v>5.7566967401034894</v>
      </c>
      <c r="E7">
        <v>8.2000002264976501E-2</v>
      </c>
    </row>
    <row r="8" spans="1:5" x14ac:dyDescent="0.3">
      <c r="A8" t="s">
        <v>23</v>
      </c>
      <c r="B8">
        <v>5.6571012852814953</v>
      </c>
      <c r="C8">
        <v>5.6969294859090622</v>
      </c>
      <c r="D8">
        <v>5.7367576865366292</v>
      </c>
      <c r="E8">
        <v>8.2000002264976501E-2</v>
      </c>
    </row>
    <row r="14" spans="1:5" x14ac:dyDescent="0.3">
      <c r="C14" t="s">
        <v>27</v>
      </c>
    </row>
    <row r="15" spans="1:5" x14ac:dyDescent="0.3">
      <c r="C15" t="s">
        <v>39</v>
      </c>
    </row>
    <row r="16" spans="1:5" x14ac:dyDescent="0.3">
      <c r="C16" t="s">
        <v>31</v>
      </c>
    </row>
    <row r="17" spans="3:3" x14ac:dyDescent="0.3">
      <c r="C17" t="s">
        <v>40</v>
      </c>
    </row>
    <row r="18" spans="3:3" x14ac:dyDescent="0.3">
      <c r="C18" t="s">
        <v>36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Dashboard</vt:lpstr>
      <vt:lpstr>trajectoires</vt:lpstr>
      <vt:lpstr>IC</vt:lpstr>
      <vt:lpstr>K_</vt:lpstr>
      <vt:lpstr>n</vt:lpstr>
      <vt:lpstr>n_</vt:lpstr>
      <vt:lpstr>Nd_</vt:lpstr>
      <vt:lpstr>nt_</vt:lpstr>
      <vt:lpstr>Dashboard!parametres</vt:lpstr>
      <vt:lpstr>r_</vt:lpstr>
      <vt:lpstr>Dashboard!S_0</vt:lpstr>
      <vt:lpstr>S0_</vt:lpstr>
      <vt:lpstr>sigma_</vt:lpstr>
      <vt:lpstr>T_</vt:lpstr>
      <vt:lpstr>t0_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2021-12-30T12:40:34Z</dcterms:modified>
</cp:coreProperties>
</file>