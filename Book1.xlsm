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\Documents\projet_maths_fin\UCO_actuariat_mini-projet\"/>
    </mc:Choice>
  </mc:AlternateContent>
  <xr:revisionPtr revIDLastSave="0" documentId="13_ncr:1_{D2798627-AAE1-48A6-BCAB-D027F0F67ADF}" xr6:coauthVersionLast="47" xr6:coauthVersionMax="47" xr10:uidLastSave="{00000000-0000-0000-0000-000000000000}"/>
  <bookViews>
    <workbookView xWindow="-8184" yWindow="4656" windowWidth="17280" windowHeight="8964" xr2:uid="{37BB51FA-B421-40C2-8C75-36C11962CC14}"/>
  </bookViews>
  <sheets>
    <sheet name="Dashboard" sheetId="1" r:id="rId1"/>
    <sheet name="Dashboard (2)" sheetId="3" r:id="rId2"/>
    <sheet name="calculations" sheetId="2" r:id="rId3"/>
  </sheets>
  <definedNames>
    <definedName name="parametres" localSheetId="1">'Dashboard (2)'!$A$1:$B$9</definedName>
    <definedName name="parametres">Dashboard!$A$1:$B$9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<sst xmlns="http://schemas.openxmlformats.org/spreadsheetml/2006/main" count="23" uniqueCount="12">
  <si>
    <t>Les paramètres:</t>
  </si>
  <si>
    <t>r</t>
  </si>
  <si>
    <t>sigma</t>
  </si>
  <si>
    <t>T</t>
  </si>
  <si>
    <t>n</t>
  </si>
  <si>
    <t>nt</t>
  </si>
  <si>
    <t>S0</t>
  </si>
  <si>
    <t>t0</t>
  </si>
  <si>
    <t>dt</t>
  </si>
  <si>
    <t>Nd</t>
  </si>
  <si>
    <t>t</t>
  </si>
  <si>
    <t>Trajectoires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</si>
</sst>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Dashboard!$J$2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Dashboard!$I$2:$I$18</c15:sqref>
                  </c15:fullRef>
                </c:ext>
              </c:extLst>
              <c:f>Dashboard!$I$3:$I$18</c:f>
              <c:strCache>
                <c:ptCount val="16"/>
                <c:pt idx="0">
                  <c:v>0</c:v>
                </c:pt>
                <c:pt idx="1">
                  <c:v>0.0625</c:v>
                </c:pt>
                <c:pt idx="2">
                  <c:v>0.125</c:v>
                </c:pt>
                <c:pt idx="3">
                  <c:v>0.1875</c:v>
                </c:pt>
                <c:pt idx="4">
                  <c:v>0.25</c:v>
                </c:pt>
                <c:pt idx="5">
                  <c:v>0.3125</c:v>
                </c:pt>
                <c:pt idx="6">
                  <c:v>0.375</c:v>
                </c:pt>
                <c:pt idx="7">
                  <c:v>0.4375</c:v>
                </c:pt>
                <c:pt idx="8">
                  <c:v>0.5</c:v>
                </c:pt>
                <c:pt idx="9">
                  <c:v>0.5625</c:v>
                </c:pt>
                <c:pt idx="10">
                  <c:v>0.625</c:v>
                </c:pt>
                <c:pt idx="11">
                  <c:v>0.6875</c:v>
                </c:pt>
                <c:pt idx="12">
                  <c:v>0.75</c:v>
                </c:pt>
                <c:pt idx="13">
                  <c:v>0.8125</c:v>
                </c:pt>
                <c:pt idx="14">
                  <c:v>0.875</c:v>
                </c:pt>
                <c:pt idx="15">
                  <c:v>0.9375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Dashboard!$J$3:$J$18</c15:sqref>
                  </c15:fullRef>
                </c:ext>
              </c:extLst>
              <c:f>Dashboard!$J$4:$J$18</c:f>
              <c:numCache>
                <c:formatCode>General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48-425C-B6B9-4859F464EEF2}"/>
            </c:ext>
          </c:extLst>
        </c:ser>
        <c:ser>
          <c:idx val="2"/>
          <c:order val="1"/>
          <c:tx>
            <c:strRef>
              <c:f>Dashboard!$K$2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Dashboard!$I$2:$I$18</c15:sqref>
                  </c15:fullRef>
                </c:ext>
              </c:extLst>
              <c:f>Dashboard!$I$3:$I$18</c:f>
              <c:strCache>
                <c:ptCount val="16"/>
                <c:pt idx="0">
                  <c:v>0</c:v>
                </c:pt>
                <c:pt idx="1">
                  <c:v>0.0625</c:v>
                </c:pt>
                <c:pt idx="2">
                  <c:v>0.125</c:v>
                </c:pt>
                <c:pt idx="3">
                  <c:v>0.1875</c:v>
                </c:pt>
                <c:pt idx="4">
                  <c:v>0.25</c:v>
                </c:pt>
                <c:pt idx="5">
                  <c:v>0.3125</c:v>
                </c:pt>
                <c:pt idx="6">
                  <c:v>0.375</c:v>
                </c:pt>
                <c:pt idx="7">
                  <c:v>0.4375</c:v>
                </c:pt>
                <c:pt idx="8">
                  <c:v>0.5</c:v>
                </c:pt>
                <c:pt idx="9">
                  <c:v>0.5625</c:v>
                </c:pt>
                <c:pt idx="10">
                  <c:v>0.625</c:v>
                </c:pt>
                <c:pt idx="11">
                  <c:v>0.6875</c:v>
                </c:pt>
                <c:pt idx="12">
                  <c:v>0.75</c:v>
                </c:pt>
                <c:pt idx="13">
                  <c:v>0.8125</c:v>
                </c:pt>
                <c:pt idx="14">
                  <c:v>0.875</c:v>
                </c:pt>
                <c:pt idx="15">
                  <c:v>0.9375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Dashboard!$K$3:$K$18</c15:sqref>
                  </c15:fullRef>
                </c:ext>
              </c:extLst>
              <c:f>Dashboard!$K$4:$K$18</c:f>
              <c:numCache>
                <c:formatCode>General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48-425C-B6B9-4859F464EEF2}"/>
            </c:ext>
          </c:extLst>
        </c:ser>
        <c:ser>
          <c:idx val="3"/>
          <c:order val="2"/>
          <c:tx>
            <c:strRef>
              <c:f>Dashboard!$L$2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Dashboard!$I$2:$I$18</c15:sqref>
                  </c15:fullRef>
                </c:ext>
              </c:extLst>
              <c:f>Dashboard!$I$3:$I$18</c:f>
              <c:strCache>
                <c:ptCount val="16"/>
                <c:pt idx="0">
                  <c:v>0</c:v>
                </c:pt>
                <c:pt idx="1">
                  <c:v>0.0625</c:v>
                </c:pt>
                <c:pt idx="2">
                  <c:v>0.125</c:v>
                </c:pt>
                <c:pt idx="3">
                  <c:v>0.1875</c:v>
                </c:pt>
                <c:pt idx="4">
                  <c:v>0.25</c:v>
                </c:pt>
                <c:pt idx="5">
                  <c:v>0.3125</c:v>
                </c:pt>
                <c:pt idx="6">
                  <c:v>0.375</c:v>
                </c:pt>
                <c:pt idx="7">
                  <c:v>0.4375</c:v>
                </c:pt>
                <c:pt idx="8">
                  <c:v>0.5</c:v>
                </c:pt>
                <c:pt idx="9">
                  <c:v>0.5625</c:v>
                </c:pt>
                <c:pt idx="10">
                  <c:v>0.625</c:v>
                </c:pt>
                <c:pt idx="11">
                  <c:v>0.6875</c:v>
                </c:pt>
                <c:pt idx="12">
                  <c:v>0.75</c:v>
                </c:pt>
                <c:pt idx="13">
                  <c:v>0.8125</c:v>
                </c:pt>
                <c:pt idx="14">
                  <c:v>0.875</c:v>
                </c:pt>
                <c:pt idx="15">
                  <c:v>0.9375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Dashboard!$L$3:$L$18</c15:sqref>
                  </c15:fullRef>
                </c:ext>
              </c:extLst>
              <c:f>Dashboard!$L$4:$L$18</c:f>
              <c:numCache>
                <c:formatCode>General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48-425C-B6B9-4859F464EEF2}"/>
            </c:ext>
          </c:extLst>
        </c:ser>
        <c:ser>
          <c:idx val="4"/>
          <c:order val="3"/>
          <c:tx>
            <c:strRef>
              <c:f>Dashboard!$M$2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Dashboard!$I$2:$I$18</c15:sqref>
                  </c15:fullRef>
                </c:ext>
              </c:extLst>
              <c:f>Dashboard!$I$3:$I$18</c:f>
              <c:strCache>
                <c:ptCount val="16"/>
                <c:pt idx="0">
                  <c:v>0</c:v>
                </c:pt>
                <c:pt idx="1">
                  <c:v>0.0625</c:v>
                </c:pt>
                <c:pt idx="2">
                  <c:v>0.125</c:v>
                </c:pt>
                <c:pt idx="3">
                  <c:v>0.1875</c:v>
                </c:pt>
                <c:pt idx="4">
                  <c:v>0.25</c:v>
                </c:pt>
                <c:pt idx="5">
                  <c:v>0.3125</c:v>
                </c:pt>
                <c:pt idx="6">
                  <c:v>0.375</c:v>
                </c:pt>
                <c:pt idx="7">
                  <c:v>0.4375</c:v>
                </c:pt>
                <c:pt idx="8">
                  <c:v>0.5</c:v>
                </c:pt>
                <c:pt idx="9">
                  <c:v>0.5625</c:v>
                </c:pt>
                <c:pt idx="10">
                  <c:v>0.625</c:v>
                </c:pt>
                <c:pt idx="11">
                  <c:v>0.6875</c:v>
                </c:pt>
                <c:pt idx="12">
                  <c:v>0.75</c:v>
                </c:pt>
                <c:pt idx="13">
                  <c:v>0.8125</c:v>
                </c:pt>
                <c:pt idx="14">
                  <c:v>0.875</c:v>
                </c:pt>
                <c:pt idx="15">
                  <c:v>0.9375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Dashboard!$M$3:$M$18</c15:sqref>
                  </c15:fullRef>
                </c:ext>
              </c:extLst>
              <c:f>Dashboard!$M$4:$M$18</c:f>
              <c:numCache>
                <c:formatCode>General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448-425C-B6B9-4859F464E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4907600"/>
        <c:axId val="1794906352"/>
      </c:lineChart>
      <c:catAx>
        <c:axId val="179490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94906352"/>
        <c:crosses val="autoZero"/>
        <c:auto val="1"/>
        <c:lblAlgn val="ctr"/>
        <c:lblOffset val="100"/>
        <c:noMultiLvlLbl val="0"/>
      </c:catAx>
      <c:valAx>
        <c:axId val="179490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9490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(2)'!$J$1:$J$18</c:f>
              <c:numCache>
                <c:formatCode>General</c:formatCode>
                <c:ptCount val="18"/>
                <c:pt idx="0">
                  <c:v>0</c:v>
                </c:pt>
                <c:pt idx="1">
                  <c:v>40</c:v>
                </c:pt>
                <c:pt idx="2">
                  <c:v>52.122207040350553</c:v>
                </c:pt>
                <c:pt idx="3">
                  <c:v>66.003433980960239</c:v>
                </c:pt>
                <c:pt idx="4">
                  <c:v>86.861598556507602</c:v>
                </c:pt>
                <c:pt idx="5">
                  <c:v>118.03119844767126</c:v>
                </c:pt>
                <c:pt idx="6">
                  <c:v>166.81058459425682</c:v>
                </c:pt>
                <c:pt idx="7">
                  <c:v>215.79190686882555</c:v>
                </c:pt>
                <c:pt idx="8">
                  <c:v>282.92464534622604</c:v>
                </c:pt>
                <c:pt idx="9">
                  <c:v>386.47445660840708</c:v>
                </c:pt>
                <c:pt idx="10">
                  <c:v>506.37203623402763</c:v>
                </c:pt>
                <c:pt idx="11">
                  <c:v>637.46068199041451</c:v>
                </c:pt>
                <c:pt idx="12">
                  <c:v>888.90034323040595</c:v>
                </c:pt>
                <c:pt idx="13">
                  <c:v>1092.3049829774507</c:v>
                </c:pt>
                <c:pt idx="14">
                  <c:v>1582.3319113324164</c:v>
                </c:pt>
                <c:pt idx="15">
                  <c:v>2117.5158976234075</c:v>
                </c:pt>
                <c:pt idx="16">
                  <c:v>2752.065866186048</c:v>
                </c:pt>
                <c:pt idx="17">
                  <c:v>3820.3061892573892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F1-493F-9445-AE8A1EC6ADF8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(2)'!$K$1:$K$18</c:f>
              <c:numCache>
                <c:formatCode>General</c:formatCode>
                <c:ptCount val="18"/>
                <c:pt idx="1">
                  <c:v>40</c:v>
                </c:pt>
                <c:pt idx="2">
                  <c:v>51.931057399378489</c:v>
                </c:pt>
                <c:pt idx="3">
                  <c:v>73.915961763259929</c:v>
                </c:pt>
                <c:pt idx="4">
                  <c:v>98.981797371687492</c:v>
                </c:pt>
                <c:pt idx="5">
                  <c:v>146.5198737920054</c:v>
                </c:pt>
                <c:pt idx="6">
                  <c:v>187.83912759931073</c:v>
                </c:pt>
                <c:pt idx="7">
                  <c:v>259.11821048691161</c:v>
                </c:pt>
                <c:pt idx="8">
                  <c:v>318.76188752493817</c:v>
                </c:pt>
                <c:pt idx="9">
                  <c:v>415.97615510104401</c:v>
                </c:pt>
                <c:pt idx="10">
                  <c:v>540.17918574585553</c:v>
                </c:pt>
                <c:pt idx="11">
                  <c:v>719.6516540907021</c:v>
                </c:pt>
                <c:pt idx="12">
                  <c:v>985.11639505878861</c:v>
                </c:pt>
                <c:pt idx="13">
                  <c:v>1282.1035030434998</c:v>
                </c:pt>
                <c:pt idx="14">
                  <c:v>1786.5226640896808</c:v>
                </c:pt>
                <c:pt idx="15">
                  <c:v>2451.0346955063878</c:v>
                </c:pt>
                <c:pt idx="16">
                  <c:v>3466.6874236869362</c:v>
                </c:pt>
                <c:pt idx="17">
                  <c:v>4595.9628930035833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F1-493F-9445-AE8A1EC6ADF8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(2)'!$L$1:$L$18</c:f>
              <c:numCache>
                <c:formatCode>General</c:formatCode>
                <c:ptCount val="18"/>
                <c:pt idx="1">
                  <c:v>40</c:v>
                </c:pt>
                <c:pt idx="2">
                  <c:v>56.457095348436788</c:v>
                </c:pt>
                <c:pt idx="3">
                  <c:v>74.512615073208778</c:v>
                </c:pt>
                <c:pt idx="4">
                  <c:v>94.733301735009263</c:v>
                </c:pt>
                <c:pt idx="5">
                  <c:v>132.01204959283277</c:v>
                </c:pt>
                <c:pt idx="6">
                  <c:v>188.68488601796045</c:v>
                </c:pt>
                <c:pt idx="7">
                  <c:v>269.24905003435094</c:v>
                </c:pt>
                <c:pt idx="8">
                  <c:v>425.45888503644483</c:v>
                </c:pt>
                <c:pt idx="9">
                  <c:v>563.25309064468956</c:v>
                </c:pt>
                <c:pt idx="10">
                  <c:v>783.26568867215326</c:v>
                </c:pt>
                <c:pt idx="11">
                  <c:v>1204.7611987261923</c:v>
                </c:pt>
                <c:pt idx="12">
                  <c:v>1610.1820094797458</c:v>
                </c:pt>
                <c:pt idx="13">
                  <c:v>2056.851493512057</c:v>
                </c:pt>
                <c:pt idx="14">
                  <c:v>2704.4887212003323</c:v>
                </c:pt>
                <c:pt idx="15">
                  <c:v>3948.6960463820901</c:v>
                </c:pt>
                <c:pt idx="16">
                  <c:v>5076.6832985556848</c:v>
                </c:pt>
                <c:pt idx="17">
                  <c:v>6711.060005704674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F1-493F-9445-AE8A1EC6ADF8}"/>
            </c:ext>
          </c:extLst>
        </c:ser>
        <c:ser>
          <c:idx val="4"/>
          <c:order val="3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(2)'!$M$1:$M$18</c:f>
              <c:numCache>
                <c:formatCode>General</c:formatCode>
                <c:ptCount val="18"/>
                <c:pt idx="1">
                  <c:v>40</c:v>
                </c:pt>
                <c:pt idx="2">
                  <c:v>55.508186321289955</c:v>
                </c:pt>
                <c:pt idx="3">
                  <c:v>77.249102132953183</c:v>
                </c:pt>
                <c:pt idx="4">
                  <c:v>103.97943738111367</c:v>
                </c:pt>
                <c:pt idx="5">
                  <c:v>143.95262873512988</c:v>
                </c:pt>
                <c:pt idx="6">
                  <c:v>202.99089106432731</c:v>
                </c:pt>
                <c:pt idx="7">
                  <c:v>300.02913175508752</c:v>
                </c:pt>
                <c:pt idx="8">
                  <c:v>412.04698034490201</c:v>
                </c:pt>
                <c:pt idx="9">
                  <c:v>566.76055870922244</c:v>
                </c:pt>
                <c:pt idx="10">
                  <c:v>772.98471341283232</c:v>
                </c:pt>
                <c:pt idx="11">
                  <c:v>1036.1233527781797</c:v>
                </c:pt>
                <c:pt idx="12">
                  <c:v>1423.6288630537529</c:v>
                </c:pt>
                <c:pt idx="13">
                  <c:v>1917.6848064543346</c:v>
                </c:pt>
                <c:pt idx="14">
                  <c:v>2602.0990508562263</c:v>
                </c:pt>
                <c:pt idx="15">
                  <c:v>3566.5299158101898</c:v>
                </c:pt>
                <c:pt idx="16">
                  <c:v>4549.330229479302</c:v>
                </c:pt>
                <c:pt idx="17">
                  <c:v>6338.1783460269353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F1-493F-9445-AE8A1EC6ADF8}"/>
            </c:ext>
          </c:extLst>
        </c:ser>
        <c:ser>
          <c:idx val="5"/>
          <c:order val="4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(2)'!$N$1:$N$18</c:f>
              <c:numCache>
                <c:formatCode>General</c:formatCode>
                <c:ptCount val="18"/>
                <c:pt idx="1">
                  <c:v>40</c:v>
                </c:pt>
                <c:pt idx="2">
                  <c:v>52.685595441789694</c:v>
                </c:pt>
                <c:pt idx="3">
                  <c:v>78.857867560905603</c:v>
                </c:pt>
                <c:pt idx="4">
                  <c:v>110.3988489891839</c:v>
                </c:pt>
                <c:pt idx="5">
                  <c:v>144.50842815628505</c:v>
                </c:pt>
                <c:pt idx="6">
                  <c:v>180.02224949030796</c:v>
                </c:pt>
                <c:pt idx="7">
                  <c:v>246.10227599313055</c:v>
                </c:pt>
                <c:pt idx="8">
                  <c:v>313.50734980025129</c:v>
                </c:pt>
                <c:pt idx="9">
                  <c:v>417.30451050496833</c:v>
                </c:pt>
                <c:pt idx="10">
                  <c:v>527.70589479345131</c:v>
                </c:pt>
                <c:pt idx="11">
                  <c:v>711.5248358224336</c:v>
                </c:pt>
                <c:pt idx="12">
                  <c:v>885.59633343067321</c:v>
                </c:pt>
                <c:pt idx="13">
                  <c:v>1181.9157564807299</c:v>
                </c:pt>
                <c:pt idx="14">
                  <c:v>1611.8318082908258</c:v>
                </c:pt>
                <c:pt idx="15">
                  <c:v>2173.834631806837</c:v>
                </c:pt>
                <c:pt idx="16">
                  <c:v>3048.6053217094532</c:v>
                </c:pt>
                <c:pt idx="17">
                  <c:v>4455.8024273529027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F1-493F-9445-AE8A1EC6A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2385600"/>
        <c:axId val="1832378528"/>
      </c:lineChart>
      <c:catAx>
        <c:axId val="183238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32378528"/>
        <c:crosses val="autoZero"/>
        <c:auto val="1"/>
        <c:lblAlgn val="ctr"/>
        <c:lblOffset val="100"/>
        <c:noMultiLvlLbl val="0"/>
      </c:catAx>
      <c:valAx>
        <c:axId val="18323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3238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</xdr:row>
          <xdr:rowOff>99060</xdr:rowOff>
        </xdr:from>
        <xdr:to>
          <xdr:col>7</xdr:col>
          <xdr:colOff>68580</xdr:colOff>
          <xdr:row>7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185057</xdr:colOff>
      <xdr:row>9</xdr:row>
      <xdr:rowOff>174172</xdr:rowOff>
    </xdr:from>
    <xdr:to>
      <xdr:col>7</xdr:col>
      <xdr:colOff>489857</xdr:colOff>
      <xdr:row>24</xdr:row>
      <xdr:rowOff>141515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D4CC96-5A37-444C-B84D-A9BCDFABC4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</xdr:row>
          <xdr:rowOff>99060</xdr:rowOff>
        </xdr:from>
        <xdr:to>
          <xdr:col>7</xdr:col>
          <xdr:colOff>68580</xdr:colOff>
          <xdr:row>7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337457</xdr:colOff>
      <xdr:row>20</xdr:row>
      <xdr:rowOff>54428</xdr:rowOff>
    </xdr:from>
    <xdr:to>
      <xdr:col>9</xdr:col>
      <xdr:colOff>32657</xdr:colOff>
      <xdr:row>35</xdr:row>
      <xdr:rowOff>21771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576943</xdr:colOff>
      <xdr:row>20</xdr:row>
      <xdr:rowOff>21771</xdr:rowOff>
    </xdr:from>
    <xdr:to>
      <xdr:col>19</xdr:col>
      <xdr:colOff>511629</xdr:colOff>
      <xdr:row>35</xdr:row>
      <xdr:rowOff>76200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6063343" y="3722914"/>
          <a:ext cx="6030686" cy="283028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For j = 0 To nt - 1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For i = 0 To n</a:t>
          </a:r>
        </a:p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If i = 0 Then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 W = 0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 Else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 W = W + Sqr(-2 * Log(Rnd())) * Cos(6.283185307 * Rnd()) * Sqr(dt)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End If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x = S0 * Exp((r - (sigma ^ 2) / 2) * (temps(i) - t0) + sigma * W)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Cells(2 + i, 10 + j).Value = x ' copier s dans la worksheet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'S(i, j) = x</a:t>
          </a:r>
        </a:p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Next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Next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B93D-AEDC-4908-98CD-C550BF726E0E}">
  <sheetPr codeName="Sheet1"/>
  <dimension ref="A1:J19"/>
  <sheetViews>
    <sheetView tabSelected="1" zoomScale="70" zoomScaleNormal="70" workbookViewId="0">
      <selection activeCell="L10" sqref="L10"/>
    </sheetView>
  </sheetViews>
  <sheetFormatPr defaultRowHeight="14.4" x14ac:dyDescent="0.3"/>
  <sheetData>
    <row r="1" spans="1:10" x14ac:dyDescent="0.3">
      <c r="A1" t="s">
        <v>0</v>
      </c>
      <c r="J1" t="s">
        <v>11</v>
      </c>
    </row>
    <row r="2" spans="1:10" x14ac:dyDescent="0.3">
      <c r="A2">
        <v>0.05</v>
      </c>
      <c r="B2" t="s">
        <v>1</v>
      </c>
      <c r="I2" t="s">
        <v>10</v>
      </c>
    </row>
    <row r="3" spans="1:10" x14ac:dyDescent="0.3">
      <c r="A3">
        <v>2E-3</v>
      </c>
      <c r="B3" t="s">
        <v>2</v>
      </c>
      <c r="I3">
        <v>0</v>
      </c>
    </row>
    <row r="4" spans="1:10" x14ac:dyDescent="0.3">
      <c r="A4">
        <v>1</v>
      </c>
      <c r="B4" t="s">
        <v>3</v>
      </c>
      <c r="I4">
        <v>6.25E-2</v>
      </c>
    </row>
    <row r="5" spans="1:10" x14ac:dyDescent="0.3">
      <c r="A5">
        <v>16</v>
      </c>
      <c r="B5" t="s">
        <v>4</v>
      </c>
      <c r="I5">
        <v>0.125</v>
      </c>
    </row>
    <row r="6" spans="1:10" x14ac:dyDescent="0.3">
      <c r="A6">
        <v>5</v>
      </c>
      <c r="B6" t="s">
        <v>5</v>
      </c>
      <c r="I6">
        <v>0.1875</v>
      </c>
    </row>
    <row r="7" spans="1:10" x14ac:dyDescent="0.3">
      <c r="A7">
        <v>5</v>
      </c>
      <c r="B7" t="s">
        <v>9</v>
      </c>
      <c r="I7">
        <v>0.25</v>
      </c>
    </row>
    <row r="8" spans="1:10" x14ac:dyDescent="0.3">
      <c r="A8">
        <v>40</v>
      </c>
      <c r="B8" t="s">
        <v>6</v>
      </c>
      <c r="I8">
        <v>0.3125</v>
      </c>
    </row>
    <row r="9" spans="1:10" x14ac:dyDescent="0.3">
      <c r="A9">
        <v>0</v>
      </c>
      <c r="B9" t="s">
        <v>7</v>
      </c>
      <c r="I9">
        <v>0.375</v>
      </c>
    </row>
    <row r="10" spans="1:10" x14ac:dyDescent="0.3">
      <c r="I10">
        <v>0.4375</v>
      </c>
    </row>
    <row r="11" spans="1:10" x14ac:dyDescent="0.3">
      <c r="I11">
        <v>0.5</v>
      </c>
    </row>
    <row r="12" spans="1:10" x14ac:dyDescent="0.3">
      <c r="I12">
        <v>0.5625</v>
      </c>
    </row>
    <row r="13" spans="1:10" x14ac:dyDescent="0.3">
      <c r="I13">
        <v>0.625</v>
      </c>
    </row>
    <row r="14" spans="1:10" x14ac:dyDescent="0.3">
      <c r="I14">
        <v>0.6875</v>
      </c>
    </row>
    <row r="15" spans="1:10" x14ac:dyDescent="0.3">
      <c r="I15">
        <v>0.75</v>
      </c>
    </row>
    <row r="16" spans="1:10" x14ac:dyDescent="0.3">
      <c r="I16">
        <v>0.8125</v>
      </c>
    </row>
    <row r="17" spans="9:9" x14ac:dyDescent="0.3">
      <c r="I17">
        <v>0.875</v>
      </c>
    </row>
    <row r="18" spans="9:9" x14ac:dyDescent="0.3">
      <c r="I18">
        <v>0.9375</v>
      </c>
    </row>
    <row r="19" spans="9:9" x14ac:dyDescent="0.3">
      <c r="I19">
        <v>1</v>
      </c>
    </row>
  </sheetData>
  <sortState xmlns:xlrd2="http://schemas.microsoft.com/office/spreadsheetml/2017/richdata2" ref="C1:C1048576">
    <sortCondition ref="C1:C1048576"/>
  </sortState>
  <dataValidations count="3">
    <dataValidation type="whole" operator="greaterThan" allowBlank="1" showInputMessage="1" showErrorMessage="1" sqref="A4:A7" xr:uid="{9F3AC011-9258-4D1A-B373-195AA3F0825A}">
      <formula1>0</formula1>
    </dataValidation>
    <dataValidation type="decimal" operator="greaterThan" allowBlank="1" showInputMessage="1" showErrorMessage="1" sqref="A2:A3 A8" xr:uid="{3214549F-974C-4EFE-9D30-205258777557}">
      <formula1>0</formula1>
    </dataValidation>
    <dataValidation type="decimal" operator="greaterThanOrEqual" allowBlank="1" showInputMessage="1" showErrorMessage="1" sqref="A9" xr:uid="{17F3B3A9-0B1B-4737-8EF2-E2D6B62BC20A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2</xdr:col>
                    <xdr:colOff>243840</xdr:colOff>
                    <xdr:row>1</xdr:row>
                    <xdr:rowOff>99060</xdr:rowOff>
                  </from>
                  <to>
                    <xdr:col>7</xdr:col>
                    <xdr:colOff>68580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AB0DD-D4E4-47BB-990E-E907A55DA00B}">
  <sheetPr codeName="Sheet3"/>
  <dimension ref="A1:N18"/>
  <sheetViews>
    <sheetView zoomScale="70" zoomScaleNormal="70" workbookViewId="0">
      <selection activeCell="N21" sqref="N21"/>
    </sheetView>
  </sheetViews>
  <sheetFormatPr defaultRowHeight="14.4" x14ac:dyDescent="0.3"/>
  <sheetData>
    <row r="1" spans="1:14" x14ac:dyDescent="0.3">
      <c r="A1" t="s">
        <v>0</v>
      </c>
      <c r="I1" t="s">
        <v>10</v>
      </c>
      <c r="J1" t="s">
        <v>11</v>
      </c>
    </row>
    <row r="2" spans="1:14" x14ac:dyDescent="0.3">
      <c r="A2">
        <v>0.05</v>
      </c>
      <c r="B2" t="s">
        <v>1</v>
      </c>
      <c r="I2">
        <v>0</v>
      </c>
      <c r="J2">
        <v>40</v>
      </c>
      <c r="K2">
        <v>40</v>
      </c>
      <c r="L2">
        <v>40</v>
      </c>
      <c r="M2">
        <v>40</v>
      </c>
      <c r="N2">
        <v>40</v>
      </c>
    </row>
    <row r="3" spans="1:14" x14ac:dyDescent="0.3">
      <c r="A3">
        <v>0.02</v>
      </c>
      <c r="B3" t="s">
        <v>2</v>
      </c>
      <c r="I3">
        <v>6.25</v>
      </c>
      <c r="J3">
        <v>52.122207040350553</v>
      </c>
      <c r="K3">
        <v>51.931057399378489</v>
      </c>
      <c r="L3">
        <v>56.457095348436788</v>
      </c>
      <c r="M3">
        <v>55.508186321289955</v>
      </c>
      <c r="N3">
        <v>52.685595441789694</v>
      </c>
    </row>
    <row r="4" spans="1:14" x14ac:dyDescent="0.3">
      <c r="A4">
        <v>100</v>
      </c>
      <c r="B4" t="s">
        <v>3</v>
      </c>
      <c r="I4">
        <v>12.5</v>
      </c>
      <c r="J4">
        <v>66.003433980960239</v>
      </c>
      <c r="K4">
        <v>73.915961763259929</v>
      </c>
      <c r="L4">
        <v>74.512615073208778</v>
      </c>
      <c r="M4">
        <v>77.249102132953183</v>
      </c>
      <c r="N4">
        <v>78.857867560905603</v>
      </c>
    </row>
    <row r="5" spans="1:14" x14ac:dyDescent="0.3">
      <c r="A5">
        <v>16</v>
      </c>
      <c r="B5" t="s">
        <v>4</v>
      </c>
      <c r="I5">
        <v>18.75</v>
      </c>
      <c r="J5">
        <v>86.861598556507602</v>
      </c>
      <c r="K5">
        <v>98.981797371687492</v>
      </c>
      <c r="L5">
        <v>94.733301735009263</v>
      </c>
      <c r="M5">
        <v>103.97943738111367</v>
      </c>
      <c r="N5">
        <v>110.3988489891839</v>
      </c>
    </row>
    <row r="6" spans="1:14" x14ac:dyDescent="0.3">
      <c r="A6">
        <v>5</v>
      </c>
      <c r="B6" t="s">
        <v>5</v>
      </c>
      <c r="I6">
        <v>25</v>
      </c>
      <c r="J6">
        <v>118.03119844767126</v>
      </c>
      <c r="K6">
        <v>146.5198737920054</v>
      </c>
      <c r="L6">
        <v>132.01204959283277</v>
      </c>
      <c r="M6">
        <v>143.95262873512988</v>
      </c>
      <c r="N6">
        <v>144.50842815628505</v>
      </c>
    </row>
    <row r="7" spans="1:14" x14ac:dyDescent="0.3">
      <c r="A7">
        <v>5</v>
      </c>
      <c r="B7" t="s">
        <v>9</v>
      </c>
      <c r="I7">
        <v>31.25</v>
      </c>
      <c r="J7">
        <v>166.81058459425682</v>
      </c>
      <c r="K7">
        <v>187.83912759931073</v>
      </c>
      <c r="L7">
        <v>188.68488601796045</v>
      </c>
      <c r="M7">
        <v>202.99089106432731</v>
      </c>
      <c r="N7">
        <v>180.02224949030796</v>
      </c>
    </row>
    <row r="8" spans="1:14" x14ac:dyDescent="0.3">
      <c r="A8">
        <v>40</v>
      </c>
      <c r="B8" t="s">
        <v>6</v>
      </c>
      <c r="I8">
        <v>37.5</v>
      </c>
      <c r="J8">
        <v>215.79190686882555</v>
      </c>
      <c r="K8">
        <v>259.11821048691161</v>
      </c>
      <c r="L8">
        <v>269.24905003435094</v>
      </c>
      <c r="M8">
        <v>300.02913175508752</v>
      </c>
      <c r="N8">
        <v>246.10227599313055</v>
      </c>
    </row>
    <row r="9" spans="1:14" x14ac:dyDescent="0.3">
      <c r="A9">
        <v>0</v>
      </c>
      <c r="B9" t="s">
        <v>7</v>
      </c>
      <c r="I9">
        <v>43.75</v>
      </c>
      <c r="J9">
        <v>282.92464534622604</v>
      </c>
      <c r="K9">
        <v>318.76188752493817</v>
      </c>
      <c r="L9">
        <v>425.45888503644483</v>
      </c>
      <c r="M9">
        <v>412.04698034490201</v>
      </c>
      <c r="N9">
        <v>313.50734980025129</v>
      </c>
    </row>
    <row r="10" spans="1:14" x14ac:dyDescent="0.3">
      <c r="I10">
        <v>50</v>
      </c>
      <c r="J10">
        <v>386.47445660840708</v>
      </c>
      <c r="K10">
        <v>415.97615510104401</v>
      </c>
      <c r="L10">
        <v>563.25309064468956</v>
      </c>
      <c r="M10">
        <v>566.76055870922244</v>
      </c>
      <c r="N10">
        <v>417.30451050496833</v>
      </c>
    </row>
    <row r="11" spans="1:14" x14ac:dyDescent="0.3">
      <c r="I11">
        <v>56.25</v>
      </c>
      <c r="J11">
        <v>506.37203623402763</v>
      </c>
      <c r="K11">
        <v>540.17918574585553</v>
      </c>
      <c r="L11">
        <v>783.26568867215326</v>
      </c>
      <c r="M11">
        <v>772.98471341283232</v>
      </c>
      <c r="N11">
        <v>527.70589479345131</v>
      </c>
    </row>
    <row r="12" spans="1:14" x14ac:dyDescent="0.3">
      <c r="I12">
        <v>62.5</v>
      </c>
      <c r="J12">
        <v>637.46068199041451</v>
      </c>
      <c r="K12">
        <v>719.6516540907021</v>
      </c>
      <c r="L12">
        <v>1204.7611987261923</v>
      </c>
      <c r="M12">
        <v>1036.1233527781797</v>
      </c>
      <c r="N12">
        <v>711.5248358224336</v>
      </c>
    </row>
    <row r="13" spans="1:14" x14ac:dyDescent="0.3">
      <c r="I13">
        <v>68.75</v>
      </c>
      <c r="J13">
        <v>888.90034323040595</v>
      </c>
      <c r="K13">
        <v>985.11639505878861</v>
      </c>
      <c r="L13">
        <v>1610.1820094797458</v>
      </c>
      <c r="M13">
        <v>1423.6288630537529</v>
      </c>
      <c r="N13">
        <v>885.59633343067321</v>
      </c>
    </row>
    <row r="14" spans="1:14" x14ac:dyDescent="0.3">
      <c r="I14">
        <v>75</v>
      </c>
      <c r="J14">
        <v>1092.3049829774507</v>
      </c>
      <c r="K14">
        <v>1282.1035030434998</v>
      </c>
      <c r="L14">
        <v>2056.851493512057</v>
      </c>
      <c r="M14">
        <v>1917.6848064543346</v>
      </c>
      <c r="N14">
        <v>1181.9157564807299</v>
      </c>
    </row>
    <row r="15" spans="1:14" x14ac:dyDescent="0.3">
      <c r="I15">
        <v>81.25</v>
      </c>
      <c r="J15">
        <v>1582.3319113324164</v>
      </c>
      <c r="K15">
        <v>1786.5226640896808</v>
      </c>
      <c r="L15">
        <v>2704.4887212003323</v>
      </c>
      <c r="M15">
        <v>2602.0990508562263</v>
      </c>
      <c r="N15">
        <v>1611.8318082908258</v>
      </c>
    </row>
    <row r="16" spans="1:14" x14ac:dyDescent="0.3">
      <c r="I16">
        <v>87.5</v>
      </c>
      <c r="J16">
        <v>2117.5158976234075</v>
      </c>
      <c r="K16">
        <v>2451.0346955063878</v>
      </c>
      <c r="L16">
        <v>3948.6960463820901</v>
      </c>
      <c r="M16">
        <v>3566.5299158101898</v>
      </c>
      <c r="N16">
        <v>2173.834631806837</v>
      </c>
    </row>
    <row r="17" spans="9:14" x14ac:dyDescent="0.3">
      <c r="I17">
        <v>93.75</v>
      </c>
      <c r="J17">
        <v>2752.065866186048</v>
      </c>
      <c r="K17">
        <v>3466.6874236869362</v>
      </c>
      <c r="L17">
        <v>5076.6832985556848</v>
      </c>
      <c r="M17">
        <v>4549.330229479302</v>
      </c>
      <c r="N17">
        <v>3048.6053217094532</v>
      </c>
    </row>
    <row r="18" spans="9:14" x14ac:dyDescent="0.3">
      <c r="I18">
        <v>100</v>
      </c>
      <c r="J18">
        <v>3820.3061892573892</v>
      </c>
      <c r="K18">
        <v>4595.9628930035833</v>
      </c>
      <c r="L18">
        <v>6711.060005704674</v>
      </c>
      <c r="M18">
        <v>6338.1783460269353</v>
      </c>
      <c r="N18">
        <v>4455.8024273529027</v>
      </c>
    </row>
  </sheetData>
  <dataValidations count="3">
    <dataValidation type="decimal" operator="greaterThanOrEqual" allowBlank="1" showInputMessage="1" showErrorMessage="1" sqref="A9" xr:uid="{D665170C-DDA5-48AD-8052-AFE7E1199D25}">
      <formula1>0</formula1>
    </dataValidation>
    <dataValidation type="decimal" operator="greaterThan" allowBlank="1" showInputMessage="1" showErrorMessage="1" sqref="A2:A3 A8" xr:uid="{9130FD66-8305-4C1C-8434-E55E235D4507}">
      <formula1>0</formula1>
    </dataValidation>
    <dataValidation type="whole" operator="greaterThan" allowBlank="1" showInputMessage="1" showErrorMessage="1" sqref="A4:A7" xr:uid="{D63DBC57-E0C4-4908-978B-3524697AB18A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243840</xdr:colOff>
                    <xdr:row>1</xdr:row>
                    <xdr:rowOff>99060</xdr:rowOff>
                  </from>
                  <to>
                    <xdr:col>7</xdr:col>
                    <xdr:colOff>68580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FE69A-7378-41C3-848A-47205B37852A}">
  <sheetPr codeName="Sheet2"/>
  <dimension ref="A1:B1"/>
  <sheetViews>
    <sheetView workbookViewId="0"/>
  </sheetViews>
  <sheetFormatPr defaultRowHeight="14.4" x14ac:dyDescent="0.3"/>
  <sheetData>
    <row r="1" spans="1:2" x14ac:dyDescent="0.3">
      <c r="A1">
        <f>(Dashboard!A4-Dashboard!A9)/Dashboard!A5</f>
        <v>6.25E-2</v>
      </c>
      <c r="B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Dashboard</vt:lpstr>
      <vt:lpstr>Dashboard (2)</vt:lpstr>
      <vt:lpstr>calculations</vt:lpstr>
      <vt:lpstr>'Dashboard (2)'!parametres</vt:lpstr>
      <vt:lpstr>parametres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2021-11-06T17:46:45Z</dcterms:created>
  <dcterms:modified xsi:type="dcterms:W3CDTF">2021-11-25T18:17:38Z</dcterms:modified>
</cp:coreProperties>
</file>