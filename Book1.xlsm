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GitHub\UCO_actuariat_mini-projet\"/>
    </mc:Choice>
  </mc:AlternateContent>
  <xr:revisionPtr revIDLastSave="0" documentId="13_ncr:1_{3F8357EF-8229-4578-BA07-B8242FE51076}" xr6:coauthVersionLast="47" xr6:coauthVersionMax="47" xr10:uidLastSave="{00000000-0000-0000-0000-000000000000}"/>
  <bookViews>
    <workbookView xWindow="-108" yWindow="-108" windowWidth="23256" windowHeight="12576" xr2:uid="{37BB51FA-B421-40C2-8C75-36C11962CC14}"/>
  </bookViews>
  <sheets>
    <sheet name="Dashboard" sheetId="1" r:id="rId1"/>
    <sheet name="calculations" sheetId="2" r:id="rId2"/>
  </sheets>
  <definedNames>
    <definedName name="parametres">Dashboard!$A$1:$B$9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<sst xmlns="http://schemas.openxmlformats.org/spreadsheetml/2006/main" count="12" uniqueCount="12">
  <si>
    <t>Les paramètres:</t>
  </si>
  <si>
    <t>r</t>
  </si>
  <si>
    <t>sigma</t>
  </si>
  <si>
    <t>T</t>
  </si>
  <si>
    <t>n</t>
  </si>
  <si>
    <t>nt</t>
  </si>
  <si>
    <t>S0</t>
  </si>
  <si>
    <t>t0</t>
  </si>
  <si>
    <t>dt</t>
  </si>
  <si>
    <t>Nd</t>
  </si>
  <si>
    <t>t</t>
  </si>
  <si>
    <t>Trajectoires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</si>
</sst>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Dashboard!$I$2:$I$18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Dashboard!$J$1:$J$18</c:f>
              <c:numCache>
                <c:formatCode>General</c:formatCode>
                <c:ptCount val="18"/>
                <c:pt idx="0">
                  <c:v>0</c:v>
                </c:pt>
                <c:pt idx="1">
                  <c:v>40</c:v>
                </c:pt>
                <c:pt idx="2">
                  <c:v>58.079925979663408</c:v>
                </c:pt>
                <c:pt idx="3">
                  <c:v>77.574257553937045</c:v>
                </c:pt>
                <c:pt idx="4">
                  <c:v>97.966033159755867</c:v>
                </c:pt>
                <c:pt idx="5">
                  <c:v>140.40793154826576</c:v>
                </c:pt>
                <c:pt idx="6">
                  <c:v>190.31734640066094</c:v>
                </c:pt>
                <c:pt idx="7">
                  <c:v>252.51343685140642</c:v>
                </c:pt>
                <c:pt idx="8">
                  <c:v>332.38283759417294</c:v>
                </c:pt>
                <c:pt idx="9">
                  <c:v>453.99238828876048</c:v>
                </c:pt>
                <c:pt idx="10">
                  <c:v>626.74406261784179</c:v>
                </c:pt>
                <c:pt idx="11">
                  <c:v>802.96888074968365</c:v>
                </c:pt>
                <c:pt idx="12">
                  <c:v>1068.8274096139492</c:v>
                </c:pt>
                <c:pt idx="13">
                  <c:v>1563.5454742157438</c:v>
                </c:pt>
                <c:pt idx="14">
                  <c:v>2185.5273459949894</c:v>
                </c:pt>
                <c:pt idx="15">
                  <c:v>3194.0502485597162</c:v>
                </c:pt>
                <c:pt idx="16">
                  <c:v>4305.8442908779589</c:v>
                </c:pt>
                <c:pt idx="17">
                  <c:v>5823.6906364543283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7D-4366-9549-EBAC186799B8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Dashboard!$I$2:$I$18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Dashboard!$K$1:$K$18</c:f>
              <c:numCache>
                <c:formatCode>General</c:formatCode>
                <c:ptCount val="18"/>
                <c:pt idx="1">
                  <c:v>40</c:v>
                </c:pt>
                <c:pt idx="2">
                  <c:v>55.632376227685938</c:v>
                </c:pt>
                <c:pt idx="3">
                  <c:v>83.95963429993563</c:v>
                </c:pt>
                <c:pt idx="4">
                  <c:v>111.59627450407875</c:v>
                </c:pt>
                <c:pt idx="5">
                  <c:v>152.95921721991937</c:v>
                </c:pt>
                <c:pt idx="6">
                  <c:v>225.32115436307754</c:v>
                </c:pt>
                <c:pt idx="7">
                  <c:v>305.21946739526459</c:v>
                </c:pt>
                <c:pt idx="8">
                  <c:v>427.21442845835963</c:v>
                </c:pt>
                <c:pt idx="9">
                  <c:v>560.90097075985238</c:v>
                </c:pt>
                <c:pt idx="10">
                  <c:v>779.95838143965148</c:v>
                </c:pt>
                <c:pt idx="11">
                  <c:v>1070.6275978214628</c:v>
                </c:pt>
                <c:pt idx="12">
                  <c:v>1496.5610070834921</c:v>
                </c:pt>
                <c:pt idx="13">
                  <c:v>2376.9844443488159</c:v>
                </c:pt>
                <c:pt idx="14">
                  <c:v>3399.8119301367838</c:v>
                </c:pt>
                <c:pt idx="15">
                  <c:v>4733.7334508477679</c:v>
                </c:pt>
                <c:pt idx="16">
                  <c:v>5949.73375078156</c:v>
                </c:pt>
                <c:pt idx="17">
                  <c:v>7835.252756695786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7D-4366-9549-EBAC186799B8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Dashboard!$I$2:$I$18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Dashboard!$L$1:$L$18</c:f>
              <c:numCache>
                <c:formatCode>General</c:formatCode>
                <c:ptCount val="18"/>
                <c:pt idx="1">
                  <c:v>40</c:v>
                </c:pt>
                <c:pt idx="2">
                  <c:v>53.83704547776037</c:v>
                </c:pt>
                <c:pt idx="3">
                  <c:v>80.46580095079598</c:v>
                </c:pt>
                <c:pt idx="4">
                  <c:v>107.80799273800362</c:v>
                </c:pt>
                <c:pt idx="5">
                  <c:v>138.98134783217262</c:v>
                </c:pt>
                <c:pt idx="6">
                  <c:v>183.97561563535783</c:v>
                </c:pt>
                <c:pt idx="7">
                  <c:v>251.30717611931419</c:v>
                </c:pt>
                <c:pt idx="8">
                  <c:v>338.2460907165426</c:v>
                </c:pt>
                <c:pt idx="9">
                  <c:v>503.56213902746441</c:v>
                </c:pt>
                <c:pt idx="10">
                  <c:v>634.13650312018103</c:v>
                </c:pt>
                <c:pt idx="11">
                  <c:v>878.83215337371314</c:v>
                </c:pt>
                <c:pt idx="12">
                  <c:v>1208.909159365918</c:v>
                </c:pt>
                <c:pt idx="13">
                  <c:v>1709.7723159778748</c:v>
                </c:pt>
                <c:pt idx="14">
                  <c:v>2447.343217146934</c:v>
                </c:pt>
                <c:pt idx="15">
                  <c:v>3129.6494983494222</c:v>
                </c:pt>
                <c:pt idx="16">
                  <c:v>4612.3577163517848</c:v>
                </c:pt>
                <c:pt idx="17">
                  <c:v>6178.7256547067354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7D-4366-9549-EBAC186799B8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Dashboard!$I$2:$I$18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Dashboard!$M$1:$M$18</c:f>
              <c:numCache>
                <c:formatCode>General</c:formatCode>
                <c:ptCount val="18"/>
                <c:pt idx="1">
                  <c:v>40</c:v>
                </c:pt>
                <c:pt idx="2">
                  <c:v>52.984851505732216</c:v>
                </c:pt>
                <c:pt idx="3">
                  <c:v>78.885738912681688</c:v>
                </c:pt>
                <c:pt idx="4">
                  <c:v>110.0654178734915</c:v>
                </c:pt>
                <c:pt idx="5">
                  <c:v>159.18828174587605</c:v>
                </c:pt>
                <c:pt idx="6">
                  <c:v>228.6501856642621</c:v>
                </c:pt>
                <c:pt idx="7">
                  <c:v>306.20960327209872</c:v>
                </c:pt>
                <c:pt idx="8">
                  <c:v>392.6864551686009</c:v>
                </c:pt>
                <c:pt idx="9">
                  <c:v>512.76987367102788</c:v>
                </c:pt>
                <c:pt idx="10">
                  <c:v>814.44956398535805</c:v>
                </c:pt>
                <c:pt idx="11">
                  <c:v>1154.4632845609344</c:v>
                </c:pt>
                <c:pt idx="12">
                  <c:v>1459.0181937758321</c:v>
                </c:pt>
                <c:pt idx="13">
                  <c:v>2035.1116927576143</c:v>
                </c:pt>
                <c:pt idx="14">
                  <c:v>2911.646494959773</c:v>
                </c:pt>
                <c:pt idx="15">
                  <c:v>4465.7366118711207</c:v>
                </c:pt>
                <c:pt idx="16">
                  <c:v>5646.2531386242745</c:v>
                </c:pt>
                <c:pt idx="17">
                  <c:v>7832.1047528256277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7D-4366-9549-EBAC186799B8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Dashboard!$I$2:$I$18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Dashboard!$N$1:$N$18</c:f>
              <c:numCache>
                <c:formatCode>General</c:formatCode>
                <c:ptCount val="18"/>
                <c:pt idx="1">
                  <c:v>40</c:v>
                </c:pt>
                <c:pt idx="2">
                  <c:v>57.590044194808129</c:v>
                </c:pt>
                <c:pt idx="3">
                  <c:v>82.35956782388223</c:v>
                </c:pt>
                <c:pt idx="4">
                  <c:v>119.38547728986723</c:v>
                </c:pt>
                <c:pt idx="5">
                  <c:v>161.61776482531434</c:v>
                </c:pt>
                <c:pt idx="6">
                  <c:v>209.74068902499732</c:v>
                </c:pt>
                <c:pt idx="7">
                  <c:v>280.05021731107666</c:v>
                </c:pt>
                <c:pt idx="8">
                  <c:v>346.21867866872145</c:v>
                </c:pt>
                <c:pt idx="9">
                  <c:v>483.74683927808394</c:v>
                </c:pt>
                <c:pt idx="10">
                  <c:v>631.72431132317888</c:v>
                </c:pt>
                <c:pt idx="11">
                  <c:v>844.7069190054699</c:v>
                </c:pt>
                <c:pt idx="12">
                  <c:v>1135.5378533272133</c:v>
                </c:pt>
                <c:pt idx="13">
                  <c:v>1534.3933943484978</c:v>
                </c:pt>
                <c:pt idx="14">
                  <c:v>2096.9365933543986</c:v>
                </c:pt>
                <c:pt idx="15">
                  <c:v>2900.2355341020548</c:v>
                </c:pt>
                <c:pt idx="16">
                  <c:v>4383.2274287461551</c:v>
                </c:pt>
                <c:pt idx="17">
                  <c:v>6320.2203575478679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7D-4366-9549-EBAC18679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2385600"/>
        <c:axId val="1832378528"/>
      </c:lineChart>
      <c:catAx>
        <c:axId val="18323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78528"/>
        <c:crosses val="autoZero"/>
        <c:auto val="1"/>
        <c:lblAlgn val="ctr"/>
        <c:lblOffset val="100"/>
        <c:noMultiLvlLbl val="0"/>
      </c:catAx>
      <c:valAx>
        <c:axId val="18323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337457</xdr:colOff>
      <xdr:row>20</xdr:row>
      <xdr:rowOff>54428</xdr:rowOff>
    </xdr:from>
    <xdr:to>
      <xdr:col>9</xdr:col>
      <xdr:colOff>32657</xdr:colOff>
      <xdr:row>35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A21AC1A-7862-4A6E-B5FB-07363C2FD8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B93D-AEDC-4908-98CD-C550BF726E0E}">
  <sheetPr codeName="Sheet1"/>
  <dimension ref="A1:N18"/>
  <sheetViews>
    <sheetView tabSelected="1" zoomScale="70" zoomScaleNormal="70" workbookViewId="0">
      <selection activeCell="N21" sqref="N21"/>
    </sheetView>
  </sheetViews>
  <sheetFormatPr defaultRowHeight="14.4" x14ac:dyDescent="0.3"/>
  <sheetData>
    <row r="1" spans="1:14" x14ac:dyDescent="0.3">
      <c r="A1" t="s">
        <v>0</v>
      </c>
      <c r="I1" t="s">
        <v>10</v>
      </c>
      <c r="J1" t="s">
        <v>11</v>
      </c>
    </row>
    <row r="2" spans="1:14" x14ac:dyDescent="0.3">
      <c r="A2">
        <v>0.05</v>
      </c>
      <c r="B2" t="s">
        <v>1</v>
      </c>
      <c r="I2">
        <v>0</v>
      </c>
      <c r="J2">
        <v>40</v>
      </c>
      <c r="K2">
        <v>40</v>
      </c>
      <c r="L2">
        <v>40</v>
      </c>
      <c r="M2">
        <v>40</v>
      </c>
      <c r="N2">
        <v>40</v>
      </c>
    </row>
    <row r="3" spans="1:14" x14ac:dyDescent="0.3">
      <c r="A3">
        <v>0.02</v>
      </c>
      <c r="B3" t="s">
        <v>2</v>
      </c>
      <c r="I3">
        <v>6.25</v>
      </c>
      <c r="J3">
        <v>58.079925979663408</v>
      </c>
      <c r="K3">
        <v>55.632376227685938</v>
      </c>
      <c r="L3">
        <v>53.83704547776037</v>
      </c>
      <c r="M3">
        <v>52.984851505732216</v>
      </c>
      <c r="N3">
        <v>57.590044194808129</v>
      </c>
    </row>
    <row r="4" spans="1:14" x14ac:dyDescent="0.3">
      <c r="A4">
        <v>100</v>
      </c>
      <c r="B4" t="s">
        <v>3</v>
      </c>
      <c r="I4">
        <v>12.5</v>
      </c>
      <c r="J4">
        <v>77.574257553937045</v>
      </c>
      <c r="K4">
        <v>83.95963429993563</v>
      </c>
      <c r="L4">
        <v>80.46580095079598</v>
      </c>
      <c r="M4">
        <v>78.885738912681688</v>
      </c>
      <c r="N4">
        <v>82.35956782388223</v>
      </c>
    </row>
    <row r="5" spans="1:14" x14ac:dyDescent="0.3">
      <c r="A5">
        <v>16</v>
      </c>
      <c r="B5" t="s">
        <v>4</v>
      </c>
      <c r="I5">
        <v>18.75</v>
      </c>
      <c r="J5">
        <v>97.966033159755867</v>
      </c>
      <c r="K5">
        <v>111.59627450407875</v>
      </c>
      <c r="L5">
        <v>107.80799273800362</v>
      </c>
      <c r="M5">
        <v>110.0654178734915</v>
      </c>
      <c r="N5">
        <v>119.38547728986723</v>
      </c>
    </row>
    <row r="6" spans="1:14" x14ac:dyDescent="0.3">
      <c r="A6">
        <v>5</v>
      </c>
      <c r="B6" t="s">
        <v>5</v>
      </c>
      <c r="I6">
        <v>25</v>
      </c>
      <c r="J6">
        <v>140.40793154826576</v>
      </c>
      <c r="K6">
        <v>152.95921721991937</v>
      </c>
      <c r="L6">
        <v>138.98134783217262</v>
      </c>
      <c r="M6">
        <v>159.18828174587605</v>
      </c>
      <c r="N6">
        <v>161.61776482531434</v>
      </c>
    </row>
    <row r="7" spans="1:14" x14ac:dyDescent="0.3">
      <c r="A7">
        <v>5</v>
      </c>
      <c r="B7" t="s">
        <v>9</v>
      </c>
      <c r="I7">
        <v>31.25</v>
      </c>
      <c r="J7">
        <v>190.31734640066094</v>
      </c>
      <c r="K7">
        <v>225.32115436307754</v>
      </c>
      <c r="L7">
        <v>183.97561563535783</v>
      </c>
      <c r="M7">
        <v>228.6501856642621</v>
      </c>
      <c r="N7">
        <v>209.74068902499732</v>
      </c>
    </row>
    <row r="8" spans="1:14" x14ac:dyDescent="0.3">
      <c r="A8">
        <v>40</v>
      </c>
      <c r="B8" t="s">
        <v>6</v>
      </c>
      <c r="I8">
        <v>37.5</v>
      </c>
      <c r="J8">
        <v>252.51343685140642</v>
      </c>
      <c r="K8">
        <v>305.21946739526459</v>
      </c>
      <c r="L8">
        <v>251.30717611931419</v>
      </c>
      <c r="M8">
        <v>306.20960327209872</v>
      </c>
      <c r="N8">
        <v>280.05021731107666</v>
      </c>
    </row>
    <row r="9" spans="1:14" x14ac:dyDescent="0.3">
      <c r="A9">
        <v>0</v>
      </c>
      <c r="B9" t="s">
        <v>7</v>
      </c>
      <c r="I9">
        <v>43.75</v>
      </c>
      <c r="J9">
        <v>332.38283759417294</v>
      </c>
      <c r="K9">
        <v>427.21442845835963</v>
      </c>
      <c r="L9">
        <v>338.2460907165426</v>
      </c>
      <c r="M9">
        <v>392.6864551686009</v>
      </c>
      <c r="N9">
        <v>346.21867866872145</v>
      </c>
    </row>
    <row r="10" spans="1:14" x14ac:dyDescent="0.3">
      <c r="I10">
        <v>50</v>
      </c>
      <c r="J10">
        <v>453.99238828876048</v>
      </c>
      <c r="K10">
        <v>560.90097075985238</v>
      </c>
      <c r="L10">
        <v>503.56213902746441</v>
      </c>
      <c r="M10">
        <v>512.76987367102788</v>
      </c>
      <c r="N10">
        <v>483.74683927808394</v>
      </c>
    </row>
    <row r="11" spans="1:14" x14ac:dyDescent="0.3">
      <c r="I11">
        <v>56.25</v>
      </c>
      <c r="J11">
        <v>626.74406261784179</v>
      </c>
      <c r="K11">
        <v>779.95838143965148</v>
      </c>
      <c r="L11">
        <v>634.13650312018103</v>
      </c>
      <c r="M11">
        <v>814.44956398535805</v>
      </c>
      <c r="N11">
        <v>631.72431132317888</v>
      </c>
    </row>
    <row r="12" spans="1:14" x14ac:dyDescent="0.3">
      <c r="I12">
        <v>62.5</v>
      </c>
      <c r="J12">
        <v>802.96888074968365</v>
      </c>
      <c r="K12">
        <v>1070.6275978214628</v>
      </c>
      <c r="L12">
        <v>878.83215337371314</v>
      </c>
      <c r="M12">
        <v>1154.4632845609344</v>
      </c>
      <c r="N12">
        <v>844.7069190054699</v>
      </c>
    </row>
    <row r="13" spans="1:14" x14ac:dyDescent="0.3">
      <c r="I13">
        <v>68.75</v>
      </c>
      <c r="J13">
        <v>1068.8274096139492</v>
      </c>
      <c r="K13">
        <v>1496.5610070834921</v>
      </c>
      <c r="L13">
        <v>1208.909159365918</v>
      </c>
      <c r="M13">
        <v>1459.0181937758321</v>
      </c>
      <c r="N13">
        <v>1135.5378533272133</v>
      </c>
    </row>
    <row r="14" spans="1:14" x14ac:dyDescent="0.3">
      <c r="I14">
        <v>75</v>
      </c>
      <c r="J14">
        <v>1563.5454742157438</v>
      </c>
      <c r="K14">
        <v>2376.9844443488159</v>
      </c>
      <c r="L14">
        <v>1709.7723159778748</v>
      </c>
      <c r="M14">
        <v>2035.1116927576143</v>
      </c>
      <c r="N14">
        <v>1534.3933943484978</v>
      </c>
    </row>
    <row r="15" spans="1:14" x14ac:dyDescent="0.3">
      <c r="I15">
        <v>81.25</v>
      </c>
      <c r="J15">
        <v>2185.5273459949894</v>
      </c>
      <c r="K15">
        <v>3399.8119301367838</v>
      </c>
      <c r="L15">
        <v>2447.343217146934</v>
      </c>
      <c r="M15">
        <v>2911.646494959773</v>
      </c>
      <c r="N15">
        <v>2096.9365933543986</v>
      </c>
    </row>
    <row r="16" spans="1:14" x14ac:dyDescent="0.3">
      <c r="I16">
        <v>87.5</v>
      </c>
      <c r="J16">
        <v>3194.0502485597162</v>
      </c>
      <c r="K16">
        <v>4733.7334508477679</v>
      </c>
      <c r="L16">
        <v>3129.6494983494222</v>
      </c>
      <c r="M16">
        <v>4465.7366118711207</v>
      </c>
      <c r="N16">
        <v>2900.2355341020548</v>
      </c>
    </row>
    <row r="17" spans="9:14" x14ac:dyDescent="0.3">
      <c r="I17">
        <v>93.75</v>
      </c>
      <c r="J17">
        <v>4305.8442908779589</v>
      </c>
      <c r="K17">
        <v>5949.73375078156</v>
      </c>
      <c r="L17">
        <v>4612.3577163517848</v>
      </c>
      <c r="M17">
        <v>5646.2531386242745</v>
      </c>
      <c r="N17">
        <v>4383.2274287461551</v>
      </c>
    </row>
    <row r="18" spans="9:14" x14ac:dyDescent="0.3">
      <c r="I18">
        <v>100</v>
      </c>
      <c r="J18">
        <v>5823.6906364543283</v>
      </c>
      <c r="K18">
        <v>7835.252756695786</v>
      </c>
      <c r="L18">
        <v>6178.7256547067354</v>
      </c>
      <c r="M18">
        <v>7832.1047528256277</v>
      </c>
      <c r="N18">
        <v>6320.2203575478679</v>
      </c>
    </row>
  </sheetData>
  <sortState xmlns:xlrd2="http://schemas.microsoft.com/office/spreadsheetml/2017/richdata2" ref="C1:C1048576">
    <sortCondition ref="C1:C1048576"/>
  </sortState>
  <dataValidations count="3">
    <dataValidation type="whole" operator="greaterThan" allowBlank="1" showInputMessage="1" showErrorMessage="1" sqref="A4:A7" xr:uid="{A791C8EB-917E-40CB-B0D3-1A234302231A}">
      <formula1>0</formula1>
    </dataValidation>
    <dataValidation type="decimal" operator="greaterThan" allowBlank="1" showInputMessage="1" showErrorMessage="1" sqref="A2:A3 A8" xr:uid="{8DB57F60-FD61-4813-B66F-F877C149708F}">
      <formula1>0</formula1>
    </dataValidation>
    <dataValidation type="decimal" operator="greaterThanOrEqual" allowBlank="1" showInputMessage="1" showErrorMessage="1" sqref="A9" xr:uid="{3178D9F1-972B-4525-9D44-17A3911ED81C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B1"/>
  <sheetViews>
    <sheetView workbookViewId="0">
      <selection activeCell="O13" sqref="O13"/>
    </sheetView>
  </sheetViews>
  <sheetFormatPr defaultRowHeight="14.4" x14ac:dyDescent="0.3"/>
  <sheetData>
    <row r="1" spans="1:2" x14ac:dyDescent="0.3">
      <c r="A1">
        <f>(Dashboard!A4-Dashboard!A9)/Dashboard!A5</f>
        <v>6.25</v>
      </c>
      <c r="B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Dashboard</vt:lpstr>
      <vt:lpstr>calculations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2021-11-06T17:46:45Z</dcterms:created>
  <dcterms:modified xsi:type="dcterms:W3CDTF">2021-11-06T22:45:07Z</dcterms:modified>
</cp:coreProperties>
</file>